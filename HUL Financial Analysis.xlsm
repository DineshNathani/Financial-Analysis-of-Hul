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nesh\Downloads\"/>
    </mc:Choice>
  </mc:AlternateContent>
  <xr:revisionPtr revIDLastSave="0" documentId="13_ncr:1_{05D5DBC5-79C2-4613-BEDA-41310F254D8A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Data Sheet" sheetId="6" r:id="rId1"/>
    <sheet name="3 Statement Model" sheetId="7" r:id="rId2"/>
    <sheet name="Ratio Analysis" sheetId="8" r:id="rId3"/>
    <sheet name="DCF" sheetId="10" r:id="rId4"/>
    <sheet name="COMP Analysis" sheetId="12" r:id="rId5"/>
    <sheet name="Common Size Statement" sheetId="13" r:id="rId6"/>
    <sheet name="TrendAnalysis" sheetId="11" r:id="rId7"/>
  </sheets>
  <definedNames>
    <definedName name="_xleta.AVERAGE" hidden="1" xlm="1">#NAME?</definedName>
    <definedName name="_xleta.FORECAST" hidden="1" xlm="1">#NAME?</definedName>
    <definedName name="_xleta.TREND" hidden="1" xlm="1">#NAME?</definedName>
    <definedName name="_xlnm.Print_Area" localSheetId="5">'Common Size Statement'!$Q$9</definedName>
    <definedName name="_xlnm.Print_Area" localSheetId="2">'Ratio Analysis'!$E$48</definedName>
    <definedName name="UPDATE">'Data Sheet'!$E$1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3" i="10" l="1"/>
  <c r="C17" i="7"/>
  <c r="P17" i="12"/>
  <c r="O17" i="12"/>
  <c r="N17" i="12"/>
  <c r="I83" i="7"/>
  <c r="F83" i="7"/>
  <c r="M83" i="7"/>
  <c r="D41" i="13"/>
  <c r="E41" i="13"/>
  <c r="F41" i="13"/>
  <c r="G41" i="13"/>
  <c r="H41" i="13"/>
  <c r="I41" i="13"/>
  <c r="J41" i="13"/>
  <c r="K41" i="13"/>
  <c r="L41" i="13"/>
  <c r="C41" i="13"/>
  <c r="D37" i="13"/>
  <c r="E37" i="13"/>
  <c r="F37" i="13"/>
  <c r="G37" i="13"/>
  <c r="H37" i="13"/>
  <c r="I37" i="13"/>
  <c r="J37" i="13"/>
  <c r="K37" i="13"/>
  <c r="L37" i="13"/>
  <c r="D38" i="13"/>
  <c r="E38" i="13"/>
  <c r="F38" i="13"/>
  <c r="G38" i="13"/>
  <c r="H38" i="13"/>
  <c r="I38" i="13"/>
  <c r="J38" i="13"/>
  <c r="K38" i="13"/>
  <c r="L38" i="13"/>
  <c r="D39" i="13"/>
  <c r="E39" i="13"/>
  <c r="F39" i="13"/>
  <c r="G39" i="13"/>
  <c r="H39" i="13"/>
  <c r="I39" i="13"/>
  <c r="J39" i="13"/>
  <c r="K39" i="13"/>
  <c r="L39" i="13"/>
  <c r="C38" i="13"/>
  <c r="C39" i="13"/>
  <c r="C37" i="13"/>
  <c r="D36" i="13"/>
  <c r="E36" i="13"/>
  <c r="F36" i="13"/>
  <c r="G36" i="13"/>
  <c r="H36" i="13"/>
  <c r="I36" i="13"/>
  <c r="J36" i="13"/>
  <c r="K36" i="13"/>
  <c r="L36" i="13"/>
  <c r="C36" i="13"/>
  <c r="D33" i="13"/>
  <c r="E33" i="13"/>
  <c r="F33" i="13"/>
  <c r="G33" i="13"/>
  <c r="H33" i="13"/>
  <c r="I33" i="13"/>
  <c r="J33" i="13"/>
  <c r="K33" i="13"/>
  <c r="L33" i="13"/>
  <c r="D34" i="13"/>
  <c r="E34" i="13"/>
  <c r="F34" i="13"/>
  <c r="G34" i="13"/>
  <c r="H34" i="13"/>
  <c r="I34" i="13"/>
  <c r="J34" i="13"/>
  <c r="K34" i="13"/>
  <c r="L34" i="13"/>
  <c r="D35" i="13"/>
  <c r="E35" i="13"/>
  <c r="F35" i="13"/>
  <c r="G35" i="13"/>
  <c r="H35" i="13"/>
  <c r="I35" i="13"/>
  <c r="J35" i="13"/>
  <c r="K35" i="13"/>
  <c r="L35" i="13"/>
  <c r="C34" i="13"/>
  <c r="C35" i="13"/>
  <c r="C33" i="13"/>
  <c r="D31" i="13"/>
  <c r="E31" i="13"/>
  <c r="F31" i="13"/>
  <c r="G31" i="13"/>
  <c r="H31" i="13"/>
  <c r="I31" i="13"/>
  <c r="J31" i="13"/>
  <c r="K31" i="13"/>
  <c r="L31" i="13"/>
  <c r="C31" i="13"/>
  <c r="D26" i="13"/>
  <c r="E26" i="13"/>
  <c r="F26" i="13"/>
  <c r="G26" i="13"/>
  <c r="H26" i="13"/>
  <c r="I26" i="13"/>
  <c r="J26" i="13"/>
  <c r="K26" i="13"/>
  <c r="L26" i="13"/>
  <c r="D27" i="13"/>
  <c r="E27" i="13"/>
  <c r="F27" i="13"/>
  <c r="G27" i="13"/>
  <c r="H27" i="13"/>
  <c r="I27" i="13"/>
  <c r="J27" i="13"/>
  <c r="K27" i="13"/>
  <c r="L27" i="13"/>
  <c r="D28" i="13"/>
  <c r="E28" i="13"/>
  <c r="F28" i="13"/>
  <c r="G28" i="13"/>
  <c r="H28" i="13"/>
  <c r="I28" i="13"/>
  <c r="J28" i="13"/>
  <c r="K28" i="13"/>
  <c r="L28" i="13"/>
  <c r="D29" i="13"/>
  <c r="E29" i="13"/>
  <c r="F29" i="13"/>
  <c r="G29" i="13"/>
  <c r="H29" i="13"/>
  <c r="I29" i="13"/>
  <c r="J29" i="13"/>
  <c r="K29" i="13"/>
  <c r="L29" i="13"/>
  <c r="C27" i="13"/>
  <c r="C28" i="13"/>
  <c r="C29" i="13"/>
  <c r="C26" i="13"/>
  <c r="C76" i="6"/>
  <c r="D76" i="6"/>
  <c r="E76" i="6"/>
  <c r="F76" i="6"/>
  <c r="G76" i="6"/>
  <c r="H76" i="6"/>
  <c r="I76" i="6"/>
  <c r="J76" i="6"/>
  <c r="K76" i="6"/>
  <c r="B76" i="6"/>
  <c r="B27" i="13"/>
  <c r="B28" i="13"/>
  <c r="B29" i="13"/>
  <c r="B33" i="13"/>
  <c r="B34" i="13"/>
  <c r="B35" i="13"/>
  <c r="B36" i="13"/>
  <c r="B37" i="13"/>
  <c r="B38" i="13"/>
  <c r="B39" i="13"/>
  <c r="B43" i="13"/>
  <c r="B26" i="13"/>
  <c r="D4" i="13"/>
  <c r="E4" i="13"/>
  <c r="F4" i="13"/>
  <c r="G4" i="13"/>
  <c r="H4" i="13"/>
  <c r="I4" i="13"/>
  <c r="J4" i="13"/>
  <c r="K4" i="13"/>
  <c r="L4" i="13"/>
  <c r="D5" i="13"/>
  <c r="E5" i="13"/>
  <c r="F5" i="13"/>
  <c r="G5" i="13"/>
  <c r="H5" i="13"/>
  <c r="I5" i="13"/>
  <c r="J5" i="13"/>
  <c r="K5" i="13"/>
  <c r="L5" i="13"/>
  <c r="D6" i="13"/>
  <c r="E6" i="13"/>
  <c r="F6" i="13"/>
  <c r="G6" i="13"/>
  <c r="H6" i="13"/>
  <c r="I6" i="13"/>
  <c r="J6" i="13"/>
  <c r="K6" i="13"/>
  <c r="L6" i="13"/>
  <c r="D7" i="13"/>
  <c r="E7" i="13"/>
  <c r="F7" i="13"/>
  <c r="G7" i="13"/>
  <c r="H7" i="13"/>
  <c r="I7" i="13"/>
  <c r="J7" i="13"/>
  <c r="K7" i="13"/>
  <c r="L7" i="13"/>
  <c r="D8" i="13"/>
  <c r="E8" i="13"/>
  <c r="F8" i="13"/>
  <c r="G8" i="13"/>
  <c r="H8" i="13"/>
  <c r="I8" i="13"/>
  <c r="J8" i="13"/>
  <c r="K8" i="13"/>
  <c r="L8" i="13"/>
  <c r="D9" i="13"/>
  <c r="E9" i="13"/>
  <c r="F9" i="13"/>
  <c r="G9" i="13"/>
  <c r="H9" i="13"/>
  <c r="I9" i="13"/>
  <c r="J9" i="13"/>
  <c r="K9" i="13"/>
  <c r="L9" i="13"/>
  <c r="D10" i="13"/>
  <c r="E10" i="13"/>
  <c r="F10" i="13"/>
  <c r="G10" i="13"/>
  <c r="H10" i="13"/>
  <c r="I10" i="13"/>
  <c r="J10" i="13"/>
  <c r="K10" i="13"/>
  <c r="L10" i="13"/>
  <c r="D11" i="13"/>
  <c r="E11" i="13"/>
  <c r="F11" i="13"/>
  <c r="G11" i="13"/>
  <c r="H11" i="13"/>
  <c r="I11" i="13"/>
  <c r="J11" i="13"/>
  <c r="K11" i="13"/>
  <c r="L11" i="13"/>
  <c r="D12" i="13"/>
  <c r="E12" i="13"/>
  <c r="F12" i="13"/>
  <c r="G12" i="13"/>
  <c r="H12" i="13"/>
  <c r="I12" i="13"/>
  <c r="J12" i="13"/>
  <c r="K12" i="13"/>
  <c r="L12" i="13"/>
  <c r="D13" i="13"/>
  <c r="E13" i="13"/>
  <c r="F13" i="13"/>
  <c r="G13" i="13"/>
  <c r="H13" i="13"/>
  <c r="I13" i="13"/>
  <c r="J13" i="13"/>
  <c r="K13" i="13"/>
  <c r="L13" i="13"/>
  <c r="D14" i="13"/>
  <c r="E14" i="13"/>
  <c r="F14" i="13"/>
  <c r="G14" i="13"/>
  <c r="H14" i="13"/>
  <c r="I14" i="13"/>
  <c r="J14" i="13"/>
  <c r="K14" i="13"/>
  <c r="L14" i="13"/>
  <c r="D15" i="13"/>
  <c r="E15" i="13"/>
  <c r="F15" i="13"/>
  <c r="G15" i="13"/>
  <c r="H15" i="13"/>
  <c r="I15" i="13"/>
  <c r="J15" i="13"/>
  <c r="K15" i="13"/>
  <c r="L15" i="13"/>
  <c r="D16" i="13"/>
  <c r="E16" i="13"/>
  <c r="F16" i="13"/>
  <c r="G16" i="13"/>
  <c r="H16" i="13"/>
  <c r="I16" i="13"/>
  <c r="J16" i="13"/>
  <c r="K16" i="13"/>
  <c r="L16" i="13"/>
  <c r="D17" i="13"/>
  <c r="E17" i="13"/>
  <c r="F17" i="13"/>
  <c r="G17" i="13"/>
  <c r="H17" i="13"/>
  <c r="I17" i="13"/>
  <c r="J17" i="13"/>
  <c r="K17" i="13"/>
  <c r="L17" i="13"/>
  <c r="D18" i="13"/>
  <c r="E18" i="13"/>
  <c r="F18" i="13"/>
  <c r="G18" i="13"/>
  <c r="H18" i="13"/>
  <c r="I18" i="13"/>
  <c r="J18" i="13"/>
  <c r="K18" i="13"/>
  <c r="L18" i="13"/>
  <c r="D19" i="13"/>
  <c r="E19" i="13"/>
  <c r="F19" i="13"/>
  <c r="G19" i="13"/>
  <c r="H19" i="13"/>
  <c r="I19" i="13"/>
  <c r="J19" i="13"/>
  <c r="K19" i="13"/>
  <c r="L19" i="13"/>
  <c r="D20" i="13"/>
  <c r="E20" i="13"/>
  <c r="F20" i="13"/>
  <c r="G20" i="13"/>
  <c r="H20" i="13"/>
  <c r="I20" i="13"/>
  <c r="J20" i="13"/>
  <c r="K20" i="13"/>
  <c r="L20" i="13"/>
  <c r="C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4" i="13"/>
  <c r="C34" i="6"/>
  <c r="D34" i="6"/>
  <c r="E34" i="6"/>
  <c r="F34" i="6"/>
  <c r="G34" i="6"/>
  <c r="H34" i="6"/>
  <c r="I34" i="6"/>
  <c r="J34" i="6"/>
  <c r="K34" i="6"/>
  <c r="B34" i="6"/>
  <c r="C33" i="6"/>
  <c r="D33" i="6"/>
  <c r="E33" i="6"/>
  <c r="F33" i="6"/>
  <c r="G33" i="6"/>
  <c r="H33" i="6"/>
  <c r="I33" i="6"/>
  <c r="J33" i="6"/>
  <c r="K33" i="6"/>
  <c r="B33" i="6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4" i="13"/>
  <c r="L3" i="13"/>
  <c r="K3" i="13"/>
  <c r="J3" i="13"/>
  <c r="I3" i="13"/>
  <c r="H3" i="13"/>
  <c r="G3" i="13"/>
  <c r="F3" i="13"/>
  <c r="E3" i="13"/>
  <c r="D3" i="13"/>
  <c r="C3" i="13"/>
  <c r="O20" i="12"/>
  <c r="P20" i="12"/>
  <c r="N20" i="12"/>
  <c r="L5" i="12" l="1"/>
  <c r="K5" i="12"/>
  <c r="J5" i="12"/>
  <c r="I5" i="12"/>
  <c r="F8" i="12"/>
  <c r="F7" i="12"/>
  <c r="F6" i="12"/>
  <c r="F5" i="12"/>
  <c r="E6" i="12"/>
  <c r="P6" i="12" s="1"/>
  <c r="E7" i="12"/>
  <c r="P7" i="12" s="1"/>
  <c r="E8" i="12"/>
  <c r="P8" i="12" s="1"/>
  <c r="E5" i="12"/>
  <c r="B2" i="12"/>
  <c r="B4" i="11" a="1"/>
  <c r="B4" i="11" s="1"/>
  <c r="B2" i="11"/>
  <c r="F11" i="10"/>
  <c r="B40" i="7"/>
  <c r="B41" i="7"/>
  <c r="B42" i="7"/>
  <c r="B39" i="7"/>
  <c r="F13" i="10"/>
  <c r="F15" i="10"/>
  <c r="F8" i="10"/>
  <c r="F7" i="10" s="1"/>
  <c r="R6" i="10"/>
  <c r="R7" i="10"/>
  <c r="L7" i="10"/>
  <c r="M7" i="10"/>
  <c r="N7" i="10"/>
  <c r="K6" i="10"/>
  <c r="L6" i="10"/>
  <c r="M6" i="10"/>
  <c r="H2" i="10"/>
  <c r="B2" i="10"/>
  <c r="B2" i="6"/>
  <c r="I80" i="6"/>
  <c r="J80" i="6"/>
  <c r="K80" i="6"/>
  <c r="H80" i="6"/>
  <c r="E42" i="7"/>
  <c r="F42" i="7"/>
  <c r="G42" i="7"/>
  <c r="H42" i="7"/>
  <c r="I42" i="7"/>
  <c r="J42" i="7"/>
  <c r="K42" i="7"/>
  <c r="L42" i="7"/>
  <c r="D42" i="7"/>
  <c r="D43" i="7"/>
  <c r="E43" i="7"/>
  <c r="F43" i="7"/>
  <c r="G43" i="7"/>
  <c r="H43" i="7"/>
  <c r="I43" i="7"/>
  <c r="J43" i="7"/>
  <c r="K43" i="7"/>
  <c r="L43" i="7"/>
  <c r="C42" i="7"/>
  <c r="C43" i="7"/>
  <c r="C95" i="7"/>
  <c r="N3" i="8"/>
  <c r="O3" i="8"/>
  <c r="P3" i="8"/>
  <c r="Q3" i="8"/>
  <c r="M3" i="8"/>
  <c r="C9" i="7"/>
  <c r="C92" i="7"/>
  <c r="D92" i="7"/>
  <c r="E92" i="7"/>
  <c r="F92" i="7"/>
  <c r="G92" i="7"/>
  <c r="H92" i="7"/>
  <c r="I92" i="7"/>
  <c r="J92" i="7"/>
  <c r="K92" i="7"/>
  <c r="L92" i="7"/>
  <c r="C93" i="7"/>
  <c r="D93" i="7"/>
  <c r="E93" i="7"/>
  <c r="F93" i="7"/>
  <c r="G93" i="7"/>
  <c r="H93" i="7"/>
  <c r="I93" i="7"/>
  <c r="J93" i="7"/>
  <c r="K93" i="7"/>
  <c r="L93" i="7"/>
  <c r="C94" i="7"/>
  <c r="D94" i="7"/>
  <c r="E94" i="7"/>
  <c r="F94" i="7"/>
  <c r="G94" i="7"/>
  <c r="H94" i="7"/>
  <c r="I94" i="7"/>
  <c r="J94" i="7"/>
  <c r="K94" i="7"/>
  <c r="L94" i="7"/>
  <c r="D95" i="7"/>
  <c r="E95" i="7"/>
  <c r="F95" i="7"/>
  <c r="G95" i="7"/>
  <c r="H95" i="7"/>
  <c r="I95" i="7"/>
  <c r="J95" i="7"/>
  <c r="K95" i="7"/>
  <c r="L95" i="7"/>
  <c r="C96" i="7"/>
  <c r="D96" i="7"/>
  <c r="E96" i="7"/>
  <c r="F96" i="7"/>
  <c r="G96" i="7"/>
  <c r="H96" i="7"/>
  <c r="I96" i="7"/>
  <c r="J96" i="7"/>
  <c r="K96" i="7"/>
  <c r="L96" i="7"/>
  <c r="C97" i="7"/>
  <c r="D97" i="7"/>
  <c r="E97" i="7"/>
  <c r="F97" i="7"/>
  <c r="G97" i="7"/>
  <c r="H97" i="7"/>
  <c r="I97" i="7"/>
  <c r="J97" i="7"/>
  <c r="K97" i="7"/>
  <c r="L97" i="7"/>
  <c r="D91" i="7"/>
  <c r="E91" i="7"/>
  <c r="F91" i="7"/>
  <c r="G91" i="7"/>
  <c r="H91" i="7"/>
  <c r="I91" i="7"/>
  <c r="J91" i="7"/>
  <c r="K91" i="7"/>
  <c r="L91" i="7"/>
  <c r="C91" i="7"/>
  <c r="B92" i="7"/>
  <c r="B93" i="7"/>
  <c r="B94" i="7"/>
  <c r="B95" i="7"/>
  <c r="B96" i="7"/>
  <c r="B97" i="7"/>
  <c r="B91" i="7"/>
  <c r="C79" i="7"/>
  <c r="D79" i="7"/>
  <c r="E79" i="7"/>
  <c r="F79" i="7"/>
  <c r="G79" i="7"/>
  <c r="H79" i="7"/>
  <c r="I79" i="7"/>
  <c r="J79" i="7"/>
  <c r="K79" i="7"/>
  <c r="L79" i="7"/>
  <c r="C80" i="7"/>
  <c r="D80" i="7"/>
  <c r="E80" i="7"/>
  <c r="F80" i="7"/>
  <c r="G80" i="7"/>
  <c r="H80" i="7"/>
  <c r="I80" i="7"/>
  <c r="J80" i="7"/>
  <c r="K80" i="7"/>
  <c r="L80" i="7"/>
  <c r="C81" i="7"/>
  <c r="D81" i="7"/>
  <c r="E81" i="7"/>
  <c r="F81" i="7"/>
  <c r="G81" i="7"/>
  <c r="H81" i="7"/>
  <c r="I81" i="7"/>
  <c r="J81" i="7"/>
  <c r="K81" i="7"/>
  <c r="L81" i="7"/>
  <c r="C82" i="7"/>
  <c r="D82" i="7"/>
  <c r="E82" i="7"/>
  <c r="F82" i="7"/>
  <c r="G82" i="7"/>
  <c r="H82" i="7"/>
  <c r="I82" i="7"/>
  <c r="J82" i="7"/>
  <c r="K82" i="7"/>
  <c r="L82" i="7"/>
  <c r="C83" i="7"/>
  <c r="D83" i="7"/>
  <c r="E83" i="7"/>
  <c r="G83" i="7"/>
  <c r="H83" i="7"/>
  <c r="J83" i="7"/>
  <c r="K83" i="7"/>
  <c r="L83" i="7"/>
  <c r="C84" i="7"/>
  <c r="D84" i="7"/>
  <c r="E84" i="7"/>
  <c r="F84" i="7"/>
  <c r="G84" i="7"/>
  <c r="H84" i="7"/>
  <c r="I84" i="7"/>
  <c r="J84" i="7"/>
  <c r="K84" i="7"/>
  <c r="L84" i="7"/>
  <c r="C85" i="7"/>
  <c r="D85" i="7"/>
  <c r="E85" i="7"/>
  <c r="F85" i="7"/>
  <c r="G85" i="7"/>
  <c r="H85" i="7"/>
  <c r="I85" i="7"/>
  <c r="J85" i="7"/>
  <c r="K85" i="7"/>
  <c r="L85" i="7"/>
  <c r="C86" i="7"/>
  <c r="D86" i="7"/>
  <c r="E86" i="7"/>
  <c r="F86" i="7"/>
  <c r="G86" i="7"/>
  <c r="H86" i="7"/>
  <c r="I86" i="7"/>
  <c r="J86" i="7"/>
  <c r="K86" i="7"/>
  <c r="L86" i="7"/>
  <c r="C87" i="7"/>
  <c r="D87" i="7"/>
  <c r="E87" i="7"/>
  <c r="F87" i="7"/>
  <c r="G87" i="7"/>
  <c r="H87" i="7"/>
  <c r="I87" i="7"/>
  <c r="J87" i="7"/>
  <c r="K87" i="7"/>
  <c r="L87" i="7"/>
  <c r="C88" i="7"/>
  <c r="D88" i="7"/>
  <c r="E88" i="7"/>
  <c r="F88" i="7"/>
  <c r="G88" i="7"/>
  <c r="H88" i="7"/>
  <c r="I88" i="7"/>
  <c r="J88" i="7"/>
  <c r="K88" i="7"/>
  <c r="L88" i="7"/>
  <c r="D78" i="7"/>
  <c r="J7" i="10" s="1"/>
  <c r="E78" i="7"/>
  <c r="K7" i="10" s="1"/>
  <c r="F78" i="7"/>
  <c r="G78" i="7"/>
  <c r="H78" i="7"/>
  <c r="I78" i="7"/>
  <c r="O7" i="10" s="1"/>
  <c r="J78" i="7"/>
  <c r="P7" i="10" s="1"/>
  <c r="K78" i="7"/>
  <c r="Q7" i="10" s="1"/>
  <c r="L78" i="7"/>
  <c r="C78" i="7"/>
  <c r="I7" i="10" s="1"/>
  <c r="B87" i="7"/>
  <c r="B88" i="7"/>
  <c r="B79" i="7"/>
  <c r="B80" i="7"/>
  <c r="B81" i="7"/>
  <c r="B82" i="7"/>
  <c r="B83" i="7"/>
  <c r="B84" i="7"/>
  <c r="B85" i="7"/>
  <c r="B86" i="7"/>
  <c r="B78" i="7"/>
  <c r="C67" i="7"/>
  <c r="D67" i="7"/>
  <c r="E67" i="7"/>
  <c r="F67" i="7"/>
  <c r="G67" i="7"/>
  <c r="H67" i="7"/>
  <c r="I67" i="7"/>
  <c r="J67" i="7"/>
  <c r="K67" i="7"/>
  <c r="L67" i="7"/>
  <c r="C68" i="7"/>
  <c r="D68" i="7"/>
  <c r="E68" i="7"/>
  <c r="F68" i="7"/>
  <c r="G68" i="7"/>
  <c r="H68" i="7"/>
  <c r="I68" i="7"/>
  <c r="J68" i="7"/>
  <c r="K68" i="7"/>
  <c r="L68" i="7"/>
  <c r="C69" i="7"/>
  <c r="D69" i="7"/>
  <c r="E69" i="7"/>
  <c r="F69" i="7"/>
  <c r="G69" i="7"/>
  <c r="H69" i="7"/>
  <c r="I69" i="7"/>
  <c r="J69" i="7"/>
  <c r="K69" i="7"/>
  <c r="L69" i="7"/>
  <c r="C70" i="7"/>
  <c r="D70" i="7"/>
  <c r="E70" i="7"/>
  <c r="F70" i="7"/>
  <c r="G70" i="7"/>
  <c r="H70" i="7"/>
  <c r="I70" i="7"/>
  <c r="J70" i="7"/>
  <c r="K70" i="7"/>
  <c r="L70" i="7"/>
  <c r="C71" i="7"/>
  <c r="D71" i="7"/>
  <c r="E71" i="7"/>
  <c r="F71" i="7"/>
  <c r="G71" i="7"/>
  <c r="H71" i="7"/>
  <c r="I71" i="7"/>
  <c r="J71" i="7"/>
  <c r="K71" i="7"/>
  <c r="L71" i="7"/>
  <c r="C72" i="7"/>
  <c r="D72" i="7"/>
  <c r="E72" i="7"/>
  <c r="F72" i="7"/>
  <c r="G72" i="7"/>
  <c r="H72" i="7"/>
  <c r="I72" i="7"/>
  <c r="J72" i="7"/>
  <c r="K72" i="7"/>
  <c r="L72" i="7"/>
  <c r="C73" i="7"/>
  <c r="D73" i="7"/>
  <c r="E73" i="7"/>
  <c r="F73" i="7"/>
  <c r="G73" i="7"/>
  <c r="H73" i="7"/>
  <c r="I73" i="7"/>
  <c r="J73" i="7"/>
  <c r="K73" i="7"/>
  <c r="L73" i="7"/>
  <c r="C74" i="7"/>
  <c r="D74" i="7"/>
  <c r="E74" i="7"/>
  <c r="F74" i="7"/>
  <c r="G74" i="7"/>
  <c r="H74" i="7"/>
  <c r="I74" i="7"/>
  <c r="J74" i="7"/>
  <c r="K74" i="7"/>
  <c r="L74" i="7"/>
  <c r="C75" i="7"/>
  <c r="D75" i="7"/>
  <c r="E75" i="7"/>
  <c r="F75" i="7"/>
  <c r="G75" i="7"/>
  <c r="H75" i="7"/>
  <c r="I75" i="7"/>
  <c r="J75" i="7"/>
  <c r="K75" i="7"/>
  <c r="L75" i="7"/>
  <c r="D66" i="7"/>
  <c r="E66" i="7"/>
  <c r="F66" i="7"/>
  <c r="G66" i="7"/>
  <c r="H66" i="7"/>
  <c r="I66" i="7"/>
  <c r="J66" i="7"/>
  <c r="K66" i="7"/>
  <c r="L66" i="7"/>
  <c r="L76" i="7" s="1"/>
  <c r="C66" i="7"/>
  <c r="B67" i="7"/>
  <c r="B68" i="7"/>
  <c r="B69" i="7"/>
  <c r="B70" i="7"/>
  <c r="B71" i="7"/>
  <c r="B72" i="7"/>
  <c r="B73" i="7"/>
  <c r="B74" i="7"/>
  <c r="B75" i="7"/>
  <c r="B66" i="7"/>
  <c r="B50" i="7"/>
  <c r="B49" i="7"/>
  <c r="B48" i="7"/>
  <c r="B47" i="7"/>
  <c r="D9" i="7"/>
  <c r="E9" i="7"/>
  <c r="F9" i="7"/>
  <c r="G9" i="7"/>
  <c r="H9" i="7"/>
  <c r="I9" i="7"/>
  <c r="J9" i="7"/>
  <c r="K9" i="7"/>
  <c r="L9" i="7"/>
  <c r="C39" i="7"/>
  <c r="D53" i="7"/>
  <c r="J8" i="10" s="1"/>
  <c r="E53" i="7"/>
  <c r="K8" i="10" s="1"/>
  <c r="F53" i="7"/>
  <c r="L8" i="10" s="1"/>
  <c r="G53" i="7"/>
  <c r="M8" i="10" s="1"/>
  <c r="H53" i="7"/>
  <c r="N8" i="10" s="1"/>
  <c r="I53" i="7"/>
  <c r="O8" i="10" s="1"/>
  <c r="J53" i="7"/>
  <c r="P8" i="10" s="1"/>
  <c r="K53" i="7"/>
  <c r="Q8" i="10" s="1"/>
  <c r="L53" i="7"/>
  <c r="R8" i="10" s="1"/>
  <c r="D54" i="7"/>
  <c r="E54" i="7"/>
  <c r="F54" i="7"/>
  <c r="G54" i="7"/>
  <c r="H54" i="7"/>
  <c r="I54" i="7"/>
  <c r="J54" i="7"/>
  <c r="K54" i="7"/>
  <c r="L54" i="7"/>
  <c r="D55" i="7"/>
  <c r="E55" i="7"/>
  <c r="F55" i="7"/>
  <c r="G55" i="7"/>
  <c r="H55" i="7"/>
  <c r="I55" i="7"/>
  <c r="I28" i="8" s="1"/>
  <c r="J55" i="7"/>
  <c r="J28" i="8" s="1"/>
  <c r="K55" i="7"/>
  <c r="K28" i="8" s="1"/>
  <c r="L55" i="7"/>
  <c r="L28" i="8" s="1"/>
  <c r="C54" i="7"/>
  <c r="C55" i="7"/>
  <c r="C53" i="7"/>
  <c r="I8" i="10" s="1"/>
  <c r="D47" i="7"/>
  <c r="E47" i="7"/>
  <c r="F47" i="7"/>
  <c r="G47" i="7"/>
  <c r="H47" i="7"/>
  <c r="I47" i="7"/>
  <c r="J47" i="7"/>
  <c r="K47" i="7"/>
  <c r="L47" i="7"/>
  <c r="D48" i="7"/>
  <c r="E48" i="7"/>
  <c r="F48" i="7"/>
  <c r="G48" i="7"/>
  <c r="H48" i="7"/>
  <c r="I48" i="7"/>
  <c r="J48" i="7"/>
  <c r="K48" i="7"/>
  <c r="L48" i="7"/>
  <c r="D49" i="7"/>
  <c r="E49" i="7"/>
  <c r="F49" i="7"/>
  <c r="G49" i="7"/>
  <c r="H49" i="7"/>
  <c r="I49" i="7"/>
  <c r="J49" i="7"/>
  <c r="K49" i="7"/>
  <c r="L49" i="7"/>
  <c r="C47" i="7"/>
  <c r="C48" i="7"/>
  <c r="C49" i="7"/>
  <c r="D39" i="7"/>
  <c r="E39" i="7"/>
  <c r="F39" i="7"/>
  <c r="G39" i="7"/>
  <c r="H39" i="7"/>
  <c r="I39" i="7"/>
  <c r="J39" i="7"/>
  <c r="K39" i="7"/>
  <c r="L39" i="7"/>
  <c r="D40" i="7"/>
  <c r="E40" i="7"/>
  <c r="F40" i="7"/>
  <c r="G40" i="7"/>
  <c r="H40" i="7"/>
  <c r="I40" i="7"/>
  <c r="J40" i="7"/>
  <c r="K40" i="7"/>
  <c r="L40" i="7"/>
  <c r="D41" i="7"/>
  <c r="E41" i="7"/>
  <c r="F41" i="7"/>
  <c r="G41" i="7"/>
  <c r="H41" i="7"/>
  <c r="I41" i="7"/>
  <c r="J41" i="7"/>
  <c r="K41" i="7"/>
  <c r="L41" i="7"/>
  <c r="C40" i="7"/>
  <c r="C41" i="7"/>
  <c r="B53" i="7" a="1"/>
  <c r="B53" i="7" s="1"/>
  <c r="L3" i="7"/>
  <c r="L6" i="7"/>
  <c r="L15" i="7"/>
  <c r="L20" i="7"/>
  <c r="L25" i="7"/>
  <c r="L31" i="7"/>
  <c r="D31" i="7"/>
  <c r="E31" i="7"/>
  <c r="F31" i="7"/>
  <c r="G31" i="7"/>
  <c r="H31" i="7"/>
  <c r="I31" i="7"/>
  <c r="J31" i="7"/>
  <c r="K31" i="7"/>
  <c r="C31" i="7"/>
  <c r="D25" i="7"/>
  <c r="E25" i="7"/>
  <c r="F25" i="7"/>
  <c r="G25" i="7"/>
  <c r="H25" i="7"/>
  <c r="I25" i="7"/>
  <c r="J25" i="7"/>
  <c r="K25" i="7"/>
  <c r="C25" i="7"/>
  <c r="D20" i="7"/>
  <c r="J6" i="10" s="1"/>
  <c r="E20" i="7"/>
  <c r="F20" i="7"/>
  <c r="G20" i="7"/>
  <c r="H20" i="7"/>
  <c r="N6" i="10" s="1"/>
  <c r="I20" i="7"/>
  <c r="O6" i="10" s="1"/>
  <c r="J20" i="7"/>
  <c r="P6" i="10" s="1"/>
  <c r="K20" i="7"/>
  <c r="Q6" i="10" s="1"/>
  <c r="C20" i="7"/>
  <c r="I6" i="10" s="1"/>
  <c r="D15" i="7"/>
  <c r="E15" i="7"/>
  <c r="F15" i="7"/>
  <c r="G15" i="7"/>
  <c r="H15" i="7"/>
  <c r="I15" i="7"/>
  <c r="J15" i="7"/>
  <c r="K15" i="7"/>
  <c r="C15" i="7"/>
  <c r="D3" i="7"/>
  <c r="E3" i="7"/>
  <c r="F3" i="7"/>
  <c r="G3" i="7"/>
  <c r="H3" i="7"/>
  <c r="I3" i="7"/>
  <c r="J3" i="7"/>
  <c r="K3" i="7"/>
  <c r="C3" i="7"/>
  <c r="C6" i="7"/>
  <c r="D6" i="7"/>
  <c r="E6" i="7"/>
  <c r="F6" i="7"/>
  <c r="G6" i="7"/>
  <c r="H6" i="7"/>
  <c r="I6" i="7"/>
  <c r="J6" i="7"/>
  <c r="K6" i="7"/>
  <c r="B6" i="6"/>
  <c r="E1" i="6"/>
  <c r="G8" i="12" l="1"/>
  <c r="O8" i="12" s="1"/>
  <c r="N18" i="12"/>
  <c r="P18" i="12"/>
  <c r="O18" i="12"/>
  <c r="G5" i="12"/>
  <c r="P5" i="12"/>
  <c r="P12" i="12" s="1"/>
  <c r="G7" i="12"/>
  <c r="G6" i="12"/>
  <c r="F14" i="10"/>
  <c r="J22" i="8"/>
  <c r="J39" i="8" s="1"/>
  <c r="M55" i="7"/>
  <c r="M53" i="7"/>
  <c r="M41" i="7"/>
  <c r="M40" i="7"/>
  <c r="N40" i="7" s="1"/>
  <c r="C22" i="8"/>
  <c r="C39" i="8" s="1"/>
  <c r="M49" i="7"/>
  <c r="N49" i="7" s="1"/>
  <c r="M54" i="7"/>
  <c r="N54" i="7" s="1"/>
  <c r="C45" i="7"/>
  <c r="M48" i="7"/>
  <c r="N48" i="7" s="1"/>
  <c r="O48" i="7" s="1"/>
  <c r="M47" i="7"/>
  <c r="N47" i="7" s="1"/>
  <c r="O47" i="7" s="1"/>
  <c r="P47" i="7" s="1"/>
  <c r="E22" i="8"/>
  <c r="E39" i="8" s="1"/>
  <c r="L45" i="7"/>
  <c r="L22" i="8"/>
  <c r="L39" i="8" s="1"/>
  <c r="D22" i="8"/>
  <c r="D39" i="8" s="1"/>
  <c r="K45" i="7"/>
  <c r="K22" i="8"/>
  <c r="K39" i="8" s="1"/>
  <c r="J45" i="7"/>
  <c r="I45" i="7"/>
  <c r="I22" i="8"/>
  <c r="I39" i="8" s="1"/>
  <c r="H45" i="7"/>
  <c r="H22" i="8"/>
  <c r="H39" i="8" s="1"/>
  <c r="M43" i="7"/>
  <c r="N43" i="7" s="1"/>
  <c r="O43" i="7" s="1"/>
  <c r="G45" i="7"/>
  <c r="G22" i="8"/>
  <c r="G39" i="8" s="1"/>
  <c r="F45" i="7"/>
  <c r="F22" i="8"/>
  <c r="F39" i="8" s="1"/>
  <c r="D45" i="7"/>
  <c r="E45" i="7"/>
  <c r="M42" i="7"/>
  <c r="N42" i="7" s="1"/>
  <c r="M75" i="7"/>
  <c r="N75" i="7" s="1"/>
  <c r="O75" i="7" s="1"/>
  <c r="P75" i="7" s="1"/>
  <c r="Q75" i="7" s="1"/>
  <c r="M88" i="7"/>
  <c r="N88" i="7" s="1"/>
  <c r="M95" i="7"/>
  <c r="N95" i="7" s="1"/>
  <c r="M84" i="7"/>
  <c r="N84" i="7" s="1"/>
  <c r="M96" i="7"/>
  <c r="N96" i="7" s="1"/>
  <c r="M67" i="7"/>
  <c r="N67" i="7" s="1"/>
  <c r="M68" i="7"/>
  <c r="N68" i="7" s="1"/>
  <c r="O68" i="7" s="1"/>
  <c r="M87" i="7"/>
  <c r="N83" i="7"/>
  <c r="M79" i="7"/>
  <c r="N79" i="7" s="1"/>
  <c r="M94" i="7"/>
  <c r="N94" i="7" s="1"/>
  <c r="O94" i="7" s="1"/>
  <c r="P94" i="7" s="1"/>
  <c r="Q94" i="7" s="1"/>
  <c r="M81" i="7"/>
  <c r="N81" i="7" s="1"/>
  <c r="M72" i="7"/>
  <c r="N72" i="7" s="1"/>
  <c r="M73" i="7"/>
  <c r="N73" i="7" s="1"/>
  <c r="O73" i="7" s="1"/>
  <c r="P73" i="7" s="1"/>
  <c r="M71" i="7"/>
  <c r="M66" i="7"/>
  <c r="N66" i="7" s="1"/>
  <c r="O66" i="7" s="1"/>
  <c r="P66" i="7" s="1"/>
  <c r="M69" i="7"/>
  <c r="N69" i="7" s="1"/>
  <c r="O69" i="7" s="1"/>
  <c r="M86" i="7"/>
  <c r="N86" i="7" s="1"/>
  <c r="M82" i="7"/>
  <c r="N82" i="7" s="1"/>
  <c r="M93" i="7"/>
  <c r="N93" i="7" s="1"/>
  <c r="M78" i="7"/>
  <c r="N78" i="7" s="1"/>
  <c r="O78" i="7" s="1"/>
  <c r="P78" i="7" s="1"/>
  <c r="M97" i="7"/>
  <c r="N97" i="7" s="1"/>
  <c r="O97" i="7" s="1"/>
  <c r="P97" i="7" s="1"/>
  <c r="Q97" i="7" s="1"/>
  <c r="M74" i="7"/>
  <c r="N74" i="7" s="1"/>
  <c r="M70" i="7"/>
  <c r="N70" i="7" s="1"/>
  <c r="O70" i="7" s="1"/>
  <c r="P70" i="7" s="1"/>
  <c r="Q70" i="7" s="1"/>
  <c r="M85" i="7"/>
  <c r="N85" i="7" s="1"/>
  <c r="M80" i="7"/>
  <c r="M92" i="7"/>
  <c r="M91" i="7"/>
  <c r="L98" i="7"/>
  <c r="D98" i="7"/>
  <c r="F98" i="7"/>
  <c r="K98" i="7"/>
  <c r="I98" i="7"/>
  <c r="G98" i="7"/>
  <c r="C98" i="7"/>
  <c r="E98" i="7"/>
  <c r="H98" i="7"/>
  <c r="J98" i="7"/>
  <c r="K89" i="7"/>
  <c r="H76" i="7"/>
  <c r="F89" i="7"/>
  <c r="H89" i="7"/>
  <c r="C89" i="7"/>
  <c r="E89" i="7"/>
  <c r="I89" i="7"/>
  <c r="G89" i="7"/>
  <c r="L89" i="7"/>
  <c r="D89" i="7"/>
  <c r="J89" i="7"/>
  <c r="G76" i="7"/>
  <c r="F76" i="7"/>
  <c r="C76" i="7"/>
  <c r="D76" i="7"/>
  <c r="K76" i="7"/>
  <c r="I76" i="7"/>
  <c r="E76" i="7"/>
  <c r="J76" i="7"/>
  <c r="M6" i="7"/>
  <c r="M15" i="7"/>
  <c r="N15" i="7" s="1"/>
  <c r="M20" i="7"/>
  <c r="M25" i="7"/>
  <c r="N25" i="7" s="1"/>
  <c r="O25" i="7" s="1"/>
  <c r="P25" i="7" s="1"/>
  <c r="Q25" i="7" s="1"/>
  <c r="M39" i="7"/>
  <c r="N39" i="7" s="1"/>
  <c r="M31" i="7"/>
  <c r="N31" i="7" s="1"/>
  <c r="O31" i="7" s="1"/>
  <c r="P31" i="7" s="1"/>
  <c r="M9" i="7"/>
  <c r="C14" i="8"/>
  <c r="G10" i="7"/>
  <c r="I14" i="8"/>
  <c r="G21" i="8"/>
  <c r="G38" i="8" s="1"/>
  <c r="J20" i="8"/>
  <c r="J37" i="8" s="1"/>
  <c r="F20" i="8"/>
  <c r="F37" i="8" s="1"/>
  <c r="E21" i="8"/>
  <c r="E38" i="8" s="1"/>
  <c r="K14" i="8"/>
  <c r="D20" i="8"/>
  <c r="D37" i="8" s="1"/>
  <c r="J14" i="8"/>
  <c r="K33" i="8"/>
  <c r="J23" i="8"/>
  <c r="E33" i="8"/>
  <c r="C33" i="8"/>
  <c r="F14" i="8"/>
  <c r="G33" i="8"/>
  <c r="H33" i="8"/>
  <c r="F23" i="8"/>
  <c r="E14" i="8"/>
  <c r="F33" i="8"/>
  <c r="E10" i="7"/>
  <c r="J10" i="7"/>
  <c r="J33" i="8"/>
  <c r="H23" i="8"/>
  <c r="F21" i="8"/>
  <c r="F38" i="8" s="1"/>
  <c r="I23" i="8"/>
  <c r="L23" i="8"/>
  <c r="G14" i="8"/>
  <c r="I33" i="8"/>
  <c r="G23" i="8"/>
  <c r="L20" i="8"/>
  <c r="L37" i="8" s="1"/>
  <c r="G20" i="8"/>
  <c r="G37" i="8" s="1"/>
  <c r="E23" i="8"/>
  <c r="L33" i="8"/>
  <c r="L14" i="8"/>
  <c r="I20" i="8"/>
  <c r="I37" i="8" s="1"/>
  <c r="H20" i="8"/>
  <c r="H37" i="8" s="1"/>
  <c r="D23" i="8"/>
  <c r="D21" i="8"/>
  <c r="D38" i="8" s="1"/>
  <c r="D10" i="7"/>
  <c r="D33" i="8"/>
  <c r="D14" i="8"/>
  <c r="K23" i="8"/>
  <c r="K21" i="8"/>
  <c r="K38" i="8" s="1"/>
  <c r="C23" i="8"/>
  <c r="C21" i="8"/>
  <c r="C38" i="8" s="1"/>
  <c r="C3" i="8" a="1"/>
  <c r="C3" i="8" s="1"/>
  <c r="K10" i="7"/>
  <c r="H14" i="8"/>
  <c r="L21" i="8"/>
  <c r="L38" i="8" s="1"/>
  <c r="L10" i="7"/>
  <c r="C20" i="8"/>
  <c r="C37" i="8" s="1"/>
  <c r="J21" i="8"/>
  <c r="J38" i="8" s="1"/>
  <c r="I21" i="8"/>
  <c r="I38" i="8" s="1"/>
  <c r="I10" i="7"/>
  <c r="H21" i="8"/>
  <c r="H38" i="8" s="1"/>
  <c r="H10" i="7"/>
  <c r="F10" i="7"/>
  <c r="E20" i="8"/>
  <c r="E37" i="8" s="1"/>
  <c r="K20" i="8"/>
  <c r="K37" i="8" s="1"/>
  <c r="C56" i="7"/>
  <c r="L56" i="7"/>
  <c r="F56" i="7"/>
  <c r="E56" i="7"/>
  <c r="D56" i="7"/>
  <c r="K56" i="7"/>
  <c r="J56" i="7"/>
  <c r="I56" i="7"/>
  <c r="H56" i="7"/>
  <c r="G56" i="7"/>
  <c r="K7" i="7"/>
  <c r="I7" i="7"/>
  <c r="L26" i="7"/>
  <c r="F7" i="7"/>
  <c r="L12" i="7"/>
  <c r="L13" i="7" s="1"/>
  <c r="L6" i="8" s="1"/>
  <c r="L7" i="7"/>
  <c r="J7" i="7"/>
  <c r="D7" i="7"/>
  <c r="H7" i="7"/>
  <c r="G7" i="7"/>
  <c r="E7" i="7"/>
  <c r="J26" i="7"/>
  <c r="F12" i="7"/>
  <c r="F13" i="7" s="1"/>
  <c r="F6" i="8" s="1"/>
  <c r="E12" i="7"/>
  <c r="E13" i="7" s="1"/>
  <c r="E6" i="8" s="1"/>
  <c r="H26" i="7"/>
  <c r="D12" i="7"/>
  <c r="D17" i="7" s="1"/>
  <c r="G26" i="7"/>
  <c r="K12" i="7"/>
  <c r="K13" i="7" s="1"/>
  <c r="K6" i="8" s="1"/>
  <c r="C12" i="7"/>
  <c r="C13" i="7" s="1"/>
  <c r="C6" i="8" s="1"/>
  <c r="C26" i="7"/>
  <c r="J12" i="7"/>
  <c r="J17" i="7" s="1"/>
  <c r="F26" i="7"/>
  <c r="E26" i="7"/>
  <c r="C10" i="7"/>
  <c r="G12" i="7"/>
  <c r="G17" i="7" s="1"/>
  <c r="D26" i="7"/>
  <c r="K26" i="7"/>
  <c r="H12" i="7"/>
  <c r="I12" i="7"/>
  <c r="I26" i="7"/>
  <c r="N8" i="12" l="1"/>
  <c r="N7" i="12"/>
  <c r="O7" i="12"/>
  <c r="P14" i="12"/>
  <c r="P11" i="12"/>
  <c r="P10" i="12"/>
  <c r="P13" i="12"/>
  <c r="P15" i="12"/>
  <c r="P19" i="12"/>
  <c r="P21" i="12" s="1"/>
  <c r="N5" i="12"/>
  <c r="O5" i="12"/>
  <c r="O6" i="12"/>
  <c r="N6" i="12"/>
  <c r="L26" i="8"/>
  <c r="L27" i="8"/>
  <c r="N37" i="8"/>
  <c r="O37" i="8"/>
  <c r="P37" i="8"/>
  <c r="Q37" i="8"/>
  <c r="M37" i="8"/>
  <c r="I27" i="8"/>
  <c r="I26" i="8"/>
  <c r="N28" i="8"/>
  <c r="M28" i="8"/>
  <c r="J27" i="8"/>
  <c r="J26" i="8"/>
  <c r="K26" i="8"/>
  <c r="K27" i="8"/>
  <c r="M38" i="8"/>
  <c r="N38" i="8"/>
  <c r="O38" i="8"/>
  <c r="P38" i="8"/>
  <c r="Q38" i="8"/>
  <c r="P33" i="8"/>
  <c r="Q33" i="8"/>
  <c r="M33" i="8"/>
  <c r="N33" i="8"/>
  <c r="O33" i="8"/>
  <c r="Q28" i="8"/>
  <c r="P28" i="8"/>
  <c r="O39" i="8"/>
  <c r="P39" i="8"/>
  <c r="Q39" i="8"/>
  <c r="N39" i="8"/>
  <c r="M39" i="8"/>
  <c r="O28" i="8"/>
  <c r="M22" i="8"/>
  <c r="O86" i="7"/>
  <c r="P86" i="7" s="1"/>
  <c r="Q86" i="7" s="1"/>
  <c r="P43" i="7"/>
  <c r="Q43" i="7" s="1"/>
  <c r="M45" i="7"/>
  <c r="N45" i="7" s="1"/>
  <c r="O45" i="7" s="1"/>
  <c r="M56" i="7"/>
  <c r="M98" i="7"/>
  <c r="O84" i="7"/>
  <c r="P84" i="7" s="1"/>
  <c r="Q84" i="7" s="1"/>
  <c r="O67" i="7"/>
  <c r="P67" i="7" s="1"/>
  <c r="Q67" i="7" s="1"/>
  <c r="O93" i="7"/>
  <c r="P93" i="7" s="1"/>
  <c r="O82" i="7"/>
  <c r="P82" i="7" s="1"/>
  <c r="Q82" i="7" s="1"/>
  <c r="K100" i="7"/>
  <c r="D100" i="7"/>
  <c r="O81" i="7"/>
  <c r="P81" i="7" s="1"/>
  <c r="Q81" i="7" s="1"/>
  <c r="O96" i="7"/>
  <c r="P96" i="7" s="1"/>
  <c r="Q96" i="7" s="1"/>
  <c r="J100" i="7"/>
  <c r="G100" i="7"/>
  <c r="P69" i="7"/>
  <c r="Q69" i="7" s="1"/>
  <c r="O88" i="7"/>
  <c r="P88" i="7" s="1"/>
  <c r="E100" i="7"/>
  <c r="N87" i="7"/>
  <c r="O87" i="7" s="1"/>
  <c r="N71" i="7"/>
  <c r="O71" i="7" s="1"/>
  <c r="P71" i="7" s="1"/>
  <c r="Q71" i="7" s="1"/>
  <c r="O95" i="7"/>
  <c r="P95" i="7" s="1"/>
  <c r="O72" i="7"/>
  <c r="P72" i="7" s="1"/>
  <c r="Q72" i="7" s="1"/>
  <c r="M89" i="7"/>
  <c r="O79" i="7"/>
  <c r="P79" i="7" s="1"/>
  <c r="N80" i="7"/>
  <c r="M23" i="8"/>
  <c r="M21" i="8"/>
  <c r="L100" i="7"/>
  <c r="O85" i="7"/>
  <c r="P85" i="7" s="1"/>
  <c r="N55" i="7"/>
  <c r="N41" i="7"/>
  <c r="M14" i="8"/>
  <c r="F100" i="7"/>
  <c r="C100" i="7"/>
  <c r="O74" i="7"/>
  <c r="N9" i="7"/>
  <c r="N22" i="8" s="1"/>
  <c r="M20" i="8"/>
  <c r="M76" i="7"/>
  <c r="I100" i="7"/>
  <c r="H100" i="7"/>
  <c r="Q78" i="7"/>
  <c r="N92" i="7"/>
  <c r="O92" i="7" s="1"/>
  <c r="P92" i="7" s="1"/>
  <c r="N91" i="7"/>
  <c r="O83" i="7"/>
  <c r="Q66" i="7"/>
  <c r="Q73" i="7"/>
  <c r="P68" i="7"/>
  <c r="Q68" i="7" s="1"/>
  <c r="N20" i="7"/>
  <c r="O20" i="7" s="1"/>
  <c r="N53" i="7"/>
  <c r="O53" i="7" s="1"/>
  <c r="P53" i="7" s="1"/>
  <c r="Q53" i="7" s="1"/>
  <c r="O15" i="7"/>
  <c r="P15" i="7" s="1"/>
  <c r="Q15" i="7" s="1"/>
  <c r="O40" i="7"/>
  <c r="P40" i="7" s="1"/>
  <c r="O49" i="7"/>
  <c r="P49" i="7" s="1"/>
  <c r="Q49" i="7" s="1"/>
  <c r="Q31" i="7"/>
  <c r="O42" i="7"/>
  <c r="P42" i="7" s="1"/>
  <c r="P48" i="7"/>
  <c r="Q48" i="7" s="1"/>
  <c r="O54" i="7"/>
  <c r="P54" i="7" s="1"/>
  <c r="Q47" i="7"/>
  <c r="O39" i="7"/>
  <c r="H41" i="8"/>
  <c r="F41" i="8"/>
  <c r="J41" i="8"/>
  <c r="G41" i="8"/>
  <c r="L41" i="8"/>
  <c r="D41" i="8"/>
  <c r="C41" i="8"/>
  <c r="I41" i="8"/>
  <c r="K41" i="8"/>
  <c r="E41" i="8"/>
  <c r="C50" i="7"/>
  <c r="G50" i="7"/>
  <c r="H50" i="7"/>
  <c r="H51" i="7" s="1"/>
  <c r="H58" i="7" s="1"/>
  <c r="H60" i="7" s="1"/>
  <c r="J50" i="7"/>
  <c r="J51" i="7" s="1"/>
  <c r="J58" i="7" s="1"/>
  <c r="J60" i="7" s="1"/>
  <c r="K50" i="7"/>
  <c r="K51" i="7" s="1"/>
  <c r="K58" i="7" s="1"/>
  <c r="F50" i="7"/>
  <c r="F51" i="7" s="1"/>
  <c r="F58" i="7" s="1"/>
  <c r="L50" i="7"/>
  <c r="L51" i="7" s="1"/>
  <c r="L58" i="7" s="1"/>
  <c r="L60" i="7" s="1"/>
  <c r="I50" i="7"/>
  <c r="I51" i="7" s="1"/>
  <c r="I58" i="7" s="1"/>
  <c r="I60" i="7" s="1"/>
  <c r="D50" i="7"/>
  <c r="E50" i="7"/>
  <c r="L17" i="7"/>
  <c r="L18" i="7" s="1"/>
  <c r="L7" i="8" s="1"/>
  <c r="G13" i="7"/>
  <c r="G6" i="8" s="1"/>
  <c r="J13" i="7"/>
  <c r="J6" i="8" s="1"/>
  <c r="D13" i="7"/>
  <c r="D6" i="8" s="1"/>
  <c r="K17" i="7"/>
  <c r="K18" i="7" s="1"/>
  <c r="K7" i="8" s="1"/>
  <c r="E17" i="7"/>
  <c r="E22" i="7" s="1"/>
  <c r="C22" i="7"/>
  <c r="F17" i="7"/>
  <c r="F18" i="7" s="1"/>
  <c r="F7" i="8" s="1"/>
  <c r="J18" i="7"/>
  <c r="J7" i="8" s="1"/>
  <c r="J22" i="7"/>
  <c r="G22" i="7"/>
  <c r="G18" i="7"/>
  <c r="G7" i="8" s="1"/>
  <c r="I17" i="7"/>
  <c r="I13" i="7"/>
  <c r="I6" i="8" s="1"/>
  <c r="D18" i="7"/>
  <c r="D7" i="8" s="1"/>
  <c r="D22" i="7"/>
  <c r="H17" i="7"/>
  <c r="H13" i="7"/>
  <c r="H6" i="8" s="1"/>
  <c r="O15" i="12" l="1"/>
  <c r="O11" i="12"/>
  <c r="O14" i="12"/>
  <c r="O13" i="12"/>
  <c r="O10" i="12"/>
  <c r="O12" i="12"/>
  <c r="O19" i="12" s="1"/>
  <c r="O21" i="12" s="1"/>
  <c r="N12" i="12"/>
  <c r="N19" i="12" s="1"/>
  <c r="N21" i="12" s="1"/>
  <c r="N15" i="12"/>
  <c r="N14" i="12"/>
  <c r="N10" i="12"/>
  <c r="N11" i="12"/>
  <c r="N13" i="12"/>
  <c r="C16" i="8"/>
  <c r="I4" i="10"/>
  <c r="G16" i="8"/>
  <c r="M4" i="10"/>
  <c r="J16" i="8"/>
  <c r="P4" i="10"/>
  <c r="E16" i="8"/>
  <c r="K4" i="10"/>
  <c r="D16" i="8"/>
  <c r="J4" i="10"/>
  <c r="N27" i="8"/>
  <c r="O27" i="8"/>
  <c r="P27" i="8"/>
  <c r="Q27" i="8"/>
  <c r="M27" i="8"/>
  <c r="M41" i="8"/>
  <c r="Q41" i="8"/>
  <c r="P41" i="8"/>
  <c r="O41" i="8"/>
  <c r="N41" i="8"/>
  <c r="N26" i="8"/>
  <c r="O26" i="8"/>
  <c r="P26" i="8"/>
  <c r="Q26" i="8"/>
  <c r="M26" i="8"/>
  <c r="M100" i="7"/>
  <c r="P45" i="7"/>
  <c r="Q45" i="7" s="1"/>
  <c r="Q79" i="7"/>
  <c r="Q93" i="7"/>
  <c r="M50" i="7"/>
  <c r="N50" i="7" s="1"/>
  <c r="O50" i="7" s="1"/>
  <c r="N76" i="7"/>
  <c r="N89" i="7"/>
  <c r="P87" i="7"/>
  <c r="Q87" i="7" s="1"/>
  <c r="O76" i="7"/>
  <c r="P74" i="7"/>
  <c r="Q74" i="7" s="1"/>
  <c r="Q76" i="7" s="1"/>
  <c r="Q85" i="7"/>
  <c r="Q88" i="7"/>
  <c r="Q95" i="7"/>
  <c r="O80" i="7"/>
  <c r="P80" i="7" s="1"/>
  <c r="O9" i="7"/>
  <c r="N20" i="8"/>
  <c r="O55" i="7"/>
  <c r="N56" i="7"/>
  <c r="O91" i="7"/>
  <c r="O98" i="7" s="1"/>
  <c r="N98" i="7"/>
  <c r="Q92" i="7"/>
  <c r="O41" i="7"/>
  <c r="N14" i="8"/>
  <c r="P83" i="7"/>
  <c r="Q83" i="7" s="1"/>
  <c r="P20" i="7"/>
  <c r="Q20" i="7" s="1"/>
  <c r="Q40" i="7"/>
  <c r="Q54" i="7"/>
  <c r="Q42" i="7"/>
  <c r="F60" i="7"/>
  <c r="C51" i="7"/>
  <c r="D51" i="7"/>
  <c r="E51" i="7"/>
  <c r="G51" i="7"/>
  <c r="P39" i="7"/>
  <c r="K19" i="8"/>
  <c r="K15" i="8"/>
  <c r="H15" i="8"/>
  <c r="H19" i="8"/>
  <c r="K60" i="7"/>
  <c r="L15" i="8"/>
  <c r="L19" i="8"/>
  <c r="F15" i="8"/>
  <c r="F19" i="8"/>
  <c r="J19" i="8"/>
  <c r="J15" i="8"/>
  <c r="I15" i="8"/>
  <c r="I19" i="8"/>
  <c r="L22" i="7"/>
  <c r="R4" i="10" s="1"/>
  <c r="C18" i="7"/>
  <c r="C7" i="8" s="1"/>
  <c r="E18" i="7"/>
  <c r="E7" i="8" s="1"/>
  <c r="F22" i="7"/>
  <c r="L4" i="10" s="1"/>
  <c r="K22" i="7"/>
  <c r="Q4" i="10" s="1"/>
  <c r="D23" i="7"/>
  <c r="D8" i="8" s="1"/>
  <c r="D28" i="7"/>
  <c r="E23" i="7"/>
  <c r="E8" i="8" s="1"/>
  <c r="E28" i="7"/>
  <c r="I18" i="7"/>
  <c r="I7" i="8" s="1"/>
  <c r="I22" i="7"/>
  <c r="G28" i="7"/>
  <c r="G23" i="7"/>
  <c r="G8" i="8" s="1"/>
  <c r="H22" i="7"/>
  <c r="H18" i="7"/>
  <c r="H7" i="8" s="1"/>
  <c r="J23" i="7"/>
  <c r="J8" i="8" s="1"/>
  <c r="J28" i="7"/>
  <c r="C28" i="7"/>
  <c r="C23" i="7"/>
  <c r="C8" i="8" s="1"/>
  <c r="I16" i="8" l="1"/>
  <c r="O4" i="10"/>
  <c r="H16" i="8"/>
  <c r="N4" i="10"/>
  <c r="N100" i="7"/>
  <c r="M51" i="7"/>
  <c r="N51" i="7" s="1"/>
  <c r="P9" i="7"/>
  <c r="P22" i="8" s="1"/>
  <c r="O22" i="8"/>
  <c r="P76" i="7"/>
  <c r="Q80" i="7"/>
  <c r="Q89" i="7" s="1"/>
  <c r="O89" i="7"/>
  <c r="O100" i="7" s="1"/>
  <c r="P41" i="7"/>
  <c r="O14" i="8"/>
  <c r="O56" i="7"/>
  <c r="O20" i="8"/>
  <c r="P91" i="7"/>
  <c r="P55" i="7"/>
  <c r="P89" i="7"/>
  <c r="E58" i="7"/>
  <c r="P50" i="7"/>
  <c r="Q50" i="7" s="1"/>
  <c r="C58" i="7"/>
  <c r="D58" i="7"/>
  <c r="G58" i="7"/>
  <c r="Q39" i="7"/>
  <c r="L23" i="7"/>
  <c r="L8" i="8" s="1"/>
  <c r="L16" i="8"/>
  <c r="K23" i="7"/>
  <c r="K8" i="8" s="1"/>
  <c r="K16" i="8"/>
  <c r="F28" i="7"/>
  <c r="F29" i="7" s="1"/>
  <c r="F16" i="8"/>
  <c r="L28" i="7"/>
  <c r="F23" i="7"/>
  <c r="F8" i="8" s="1"/>
  <c r="K28" i="7"/>
  <c r="G33" i="7"/>
  <c r="G29" i="7"/>
  <c r="E29" i="7"/>
  <c r="E33" i="7"/>
  <c r="C29" i="7"/>
  <c r="C33" i="7"/>
  <c r="C31" i="8" s="1"/>
  <c r="H28" i="7"/>
  <c r="H23" i="7"/>
  <c r="H8" i="8" s="1"/>
  <c r="D29" i="7"/>
  <c r="D33" i="7"/>
  <c r="J29" i="7"/>
  <c r="J33" i="7"/>
  <c r="I23" i="7"/>
  <c r="I8" i="8" s="1"/>
  <c r="I28" i="7"/>
  <c r="L33" i="7" l="1"/>
  <c r="L31" i="8" s="1"/>
  <c r="C10" i="6"/>
  <c r="F10" i="10"/>
  <c r="M58" i="7"/>
  <c r="P20" i="8"/>
  <c r="Q9" i="7"/>
  <c r="Q22" i="8" s="1"/>
  <c r="Q91" i="7"/>
  <c r="Q98" i="7" s="1"/>
  <c r="Q100" i="7" s="1"/>
  <c r="P98" i="7"/>
  <c r="P100" i="7" s="1"/>
  <c r="P56" i="7"/>
  <c r="Q41" i="7"/>
  <c r="P14" i="8"/>
  <c r="Q55" i="7"/>
  <c r="C60" i="7"/>
  <c r="C15" i="8"/>
  <c r="C19" i="8"/>
  <c r="G60" i="7"/>
  <c r="G15" i="8"/>
  <c r="G19" i="8"/>
  <c r="O51" i="7"/>
  <c r="P51" i="7" s="1"/>
  <c r="E60" i="7"/>
  <c r="E19" i="8"/>
  <c r="E15" i="8"/>
  <c r="D60" i="7"/>
  <c r="D19" i="8"/>
  <c r="D15" i="8"/>
  <c r="F33" i="7"/>
  <c r="F34" i="7" s="1"/>
  <c r="F9" i="8" s="1"/>
  <c r="E34" i="7"/>
  <c r="E9" i="8" s="1"/>
  <c r="E10" i="8"/>
  <c r="E11" i="8"/>
  <c r="E31" i="8"/>
  <c r="E32" i="8" s="1"/>
  <c r="L34" i="7"/>
  <c r="L9" i="8" s="1"/>
  <c r="L10" i="8"/>
  <c r="L11" i="8"/>
  <c r="L32" i="8"/>
  <c r="J34" i="7"/>
  <c r="J9" i="8" s="1"/>
  <c r="J10" i="8"/>
  <c r="J11" i="8"/>
  <c r="J31" i="8"/>
  <c r="J32" i="8" s="1"/>
  <c r="D34" i="7"/>
  <c r="D9" i="8" s="1"/>
  <c r="D10" i="8"/>
  <c r="D11" i="8"/>
  <c r="D31" i="8"/>
  <c r="D32" i="8" s="1"/>
  <c r="G34" i="7"/>
  <c r="G9" i="8" s="1"/>
  <c r="G31" i="8"/>
  <c r="G32" i="8" s="1"/>
  <c r="G11" i="8"/>
  <c r="G10" i="8"/>
  <c r="C34" i="7"/>
  <c r="C9" i="8" s="1"/>
  <c r="C10" i="8"/>
  <c r="C32" i="8"/>
  <c r="C11" i="8"/>
  <c r="L29" i="7"/>
  <c r="K29" i="7"/>
  <c r="K33" i="7"/>
  <c r="I29" i="7"/>
  <c r="I33" i="7"/>
  <c r="I31" i="8" s="1"/>
  <c r="H29" i="7"/>
  <c r="H33" i="7"/>
  <c r="N5" i="10" l="1"/>
  <c r="N9" i="10" s="1"/>
  <c r="L5" i="10"/>
  <c r="L9" i="10" s="1"/>
  <c r="F17" i="10"/>
  <c r="I13" i="10" s="1"/>
  <c r="R5" i="10"/>
  <c r="R9" i="10" s="1"/>
  <c r="I5" i="10"/>
  <c r="I9" i="10" s="1"/>
  <c r="O5" i="10"/>
  <c r="O9" i="10" s="1"/>
  <c r="K5" i="10"/>
  <c r="K9" i="10" s="1"/>
  <c r="Q5" i="10"/>
  <c r="Q9" i="10" s="1"/>
  <c r="J5" i="10"/>
  <c r="J9" i="10" s="1"/>
  <c r="M5" i="10"/>
  <c r="M9" i="10" s="1"/>
  <c r="P5" i="10"/>
  <c r="P9" i="10" s="1"/>
  <c r="Q20" i="8"/>
  <c r="Q14" i="8"/>
  <c r="M60" i="7"/>
  <c r="M15" i="8"/>
  <c r="M19" i="8"/>
  <c r="Q56" i="7"/>
  <c r="N58" i="7"/>
  <c r="N15" i="8" s="1"/>
  <c r="Q51" i="7"/>
  <c r="F31" i="8"/>
  <c r="F32" i="8" s="1"/>
  <c r="F11" i="8"/>
  <c r="F10" i="8"/>
  <c r="H34" i="7"/>
  <c r="H9" i="8" s="1"/>
  <c r="H11" i="8"/>
  <c r="H31" i="8"/>
  <c r="H32" i="8" s="1"/>
  <c r="H10" i="8"/>
  <c r="K34" i="7"/>
  <c r="K9" i="8" s="1"/>
  <c r="K10" i="8"/>
  <c r="K11" i="8"/>
  <c r="K31" i="8"/>
  <c r="K32" i="8" s="1"/>
  <c r="I34" i="7"/>
  <c r="I9" i="8" s="1"/>
  <c r="I10" i="8"/>
  <c r="I11" i="8"/>
  <c r="I32" i="8"/>
  <c r="I14" i="10" l="1"/>
  <c r="I16" i="10"/>
  <c r="I17" i="10" s="1"/>
  <c r="Q16" i="10"/>
  <c r="Q17" i="10" s="1"/>
  <c r="K16" i="10"/>
  <c r="K17" i="10" s="1"/>
  <c r="J16" i="10"/>
  <c r="J17" i="10" s="1"/>
  <c r="N16" i="10"/>
  <c r="N17" i="10" s="1"/>
  <c r="L16" i="10"/>
  <c r="L17" i="10" s="1"/>
  <c r="O16" i="10"/>
  <c r="O17" i="10" s="1"/>
  <c r="P16" i="10"/>
  <c r="P17" i="10" s="1"/>
  <c r="R16" i="10"/>
  <c r="R17" i="10" s="1"/>
  <c r="M16" i="10"/>
  <c r="M17" i="10" s="1"/>
  <c r="M31" i="8"/>
  <c r="Q31" i="8"/>
  <c r="N32" i="8"/>
  <c r="O32" i="8"/>
  <c r="P32" i="8"/>
  <c r="Q32" i="8"/>
  <c r="M32" i="8"/>
  <c r="P31" i="8"/>
  <c r="O31" i="8"/>
  <c r="N31" i="8"/>
  <c r="N60" i="7"/>
  <c r="O58" i="7"/>
  <c r="P58" i="7" s="1"/>
  <c r="P15" i="8" s="1"/>
  <c r="R18" i="10" l="1"/>
  <c r="I20" i="10" s="1"/>
  <c r="I21" i="10" s="1"/>
  <c r="I24" i="10" s="1"/>
  <c r="P60" i="7"/>
  <c r="O60" i="7"/>
  <c r="Q58" i="7"/>
  <c r="Q15" i="8" s="1"/>
  <c r="O15" i="8"/>
  <c r="N6" i="7"/>
  <c r="M12" i="7"/>
  <c r="M13" i="7" s="1"/>
  <c r="M6" i="8" s="1"/>
  <c r="M7" i="7"/>
  <c r="M10" i="7"/>
  <c r="M26" i="7"/>
  <c r="Q60" i="7" l="1"/>
  <c r="M17" i="7"/>
  <c r="M22" i="7" s="1"/>
  <c r="M16" i="8" s="1"/>
  <c r="N7" i="7"/>
  <c r="N19" i="8"/>
  <c r="N23" i="8"/>
  <c r="N21" i="8"/>
  <c r="N26" i="7"/>
  <c r="N10" i="7"/>
  <c r="O6" i="7"/>
  <c r="N12" i="7"/>
  <c r="M28" i="7" l="1"/>
  <c r="M33" i="7" s="1"/>
  <c r="M23" i="7"/>
  <c r="M8" i="8" s="1"/>
  <c r="M18" i="7"/>
  <c r="M7" i="8" s="1"/>
  <c r="O21" i="8"/>
  <c r="O19" i="8"/>
  <c r="O23" i="8"/>
  <c r="O7" i="7"/>
  <c r="O10" i="7"/>
  <c r="O12" i="7"/>
  <c r="O26" i="7"/>
  <c r="N13" i="7"/>
  <c r="N6" i="8" s="1"/>
  <c r="N17" i="7"/>
  <c r="P6" i="7"/>
  <c r="M29" i="7" l="1"/>
  <c r="Q6" i="7"/>
  <c r="P21" i="8"/>
  <c r="P19" i="8"/>
  <c r="P23" i="8"/>
  <c r="M34" i="7"/>
  <c r="M9" i="8" s="1"/>
  <c r="M10" i="8"/>
  <c r="M11" i="8"/>
  <c r="N22" i="7"/>
  <c r="N16" i="8" s="1"/>
  <c r="N18" i="7"/>
  <c r="N7" i="8" s="1"/>
  <c r="O13" i="7"/>
  <c r="O6" i="8" s="1"/>
  <c r="O17" i="7"/>
  <c r="P10" i="7"/>
  <c r="P12" i="7"/>
  <c r="P26" i="7"/>
  <c r="P7" i="7"/>
  <c r="Q10" i="7" l="1"/>
  <c r="C4" i="11" a="1"/>
  <c r="Q26" i="7"/>
  <c r="Q12" i="7"/>
  <c r="Q13" i="7" s="1"/>
  <c r="Q6" i="8" s="1"/>
  <c r="Q7" i="7"/>
  <c r="Q23" i="8"/>
  <c r="Q21" i="8"/>
  <c r="Q19" i="8"/>
  <c r="P17" i="7"/>
  <c r="P13" i="7"/>
  <c r="P6" i="8" s="1"/>
  <c r="O22" i="7"/>
  <c r="O16" i="8" s="1"/>
  <c r="O18" i="7"/>
  <c r="O7" i="8" s="1"/>
  <c r="N23" i="7"/>
  <c r="N8" i="8" s="1"/>
  <c r="N28" i="7"/>
  <c r="C4" i="11" l="1"/>
  <c r="D7" i="11"/>
  <c r="D15" i="11"/>
  <c r="D8" i="11"/>
  <c r="D16" i="11"/>
  <c r="D9" i="11"/>
  <c r="D17" i="11"/>
  <c r="D10" i="11"/>
  <c r="D18" i="11"/>
  <c r="D11" i="11"/>
  <c r="D5" i="11"/>
  <c r="D12" i="11"/>
  <c r="D13" i="11"/>
  <c r="D6" i="11"/>
  <c r="D14" i="11"/>
  <c r="Q17" i="7"/>
  <c r="Q18" i="7" s="1"/>
  <c r="Q7" i="8" s="1"/>
  <c r="P18" i="7"/>
  <c r="P7" i="8" s="1"/>
  <c r="P22" i="7"/>
  <c r="P16" i="8" s="1"/>
  <c r="N33" i="7"/>
  <c r="N29" i="7"/>
  <c r="O23" i="7"/>
  <c r="O8" i="8" s="1"/>
  <c r="O28" i="7"/>
  <c r="Q22" i="7" l="1"/>
  <c r="Q16" i="8" s="1"/>
  <c r="N34" i="7"/>
  <c r="N9" i="8" s="1"/>
  <c r="N10" i="8"/>
  <c r="N11" i="8"/>
  <c r="P28" i="7"/>
  <c r="P23" i="7"/>
  <c r="P8" i="8" s="1"/>
  <c r="O33" i="7"/>
  <c r="O29" i="7"/>
  <c r="Q23" i="7" l="1"/>
  <c r="Q8" i="8" s="1"/>
  <c r="Q28" i="7"/>
  <c r="Q33" i="7" s="1"/>
  <c r="O34" i="7"/>
  <c r="O9" i="8" s="1"/>
  <c r="O10" i="8"/>
  <c r="O11" i="8"/>
  <c r="P29" i="7"/>
  <c r="P33" i="7"/>
  <c r="Q29" i="7"/>
  <c r="Q34" i="7" l="1"/>
  <c r="Q9" i="8" s="1"/>
  <c r="Q10" i="8"/>
  <c r="Q11" i="8"/>
  <c r="P34" i="7"/>
  <c r="P9" i="8" s="1"/>
  <c r="P10" i="8"/>
  <c r="P11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<sst xmlns="http://schemas.openxmlformats.org/spreadsheetml/2006/main" count="245" uniqueCount="199">
  <si>
    <t>COMPANY NAME</t>
  </si>
  <si>
    <t>Sales</t>
  </si>
  <si>
    <t>Expenses</t>
  </si>
  <si>
    <t>Operating Profit</t>
  </si>
  <si>
    <t>Other Income</t>
  </si>
  <si>
    <t>Depreciation</t>
  </si>
  <si>
    <t>Interest</t>
  </si>
  <si>
    <t>Profit before tax</t>
  </si>
  <si>
    <t>Tax</t>
  </si>
  <si>
    <t>Net profit</t>
  </si>
  <si>
    <t>Sales Growth</t>
  </si>
  <si>
    <t>Equity Share Capital</t>
  </si>
  <si>
    <t>Reserves</t>
  </si>
  <si>
    <t>Total</t>
  </si>
  <si>
    <t>Net Block</t>
  </si>
  <si>
    <t>Capital Work in Progress</t>
  </si>
  <si>
    <t>Investments</t>
  </si>
  <si>
    <t>Face Value</t>
  </si>
  <si>
    <t>Cash from Operating Activity</t>
  </si>
  <si>
    <t>Cash from Investing Activity</t>
  </si>
  <si>
    <t>Cash from Financing Activity</t>
  </si>
  <si>
    <t>Net Cash Flow</t>
  </si>
  <si>
    <t>PLEASE DO NOT MAKE ANY CHANGES TO THIS SHEET</t>
  </si>
  <si>
    <t>PROFIT &amp; LOSS</t>
  </si>
  <si>
    <t>Report Date</t>
  </si>
  <si>
    <t>Quarters</t>
  </si>
  <si>
    <t>BALANCE SHEET</t>
  </si>
  <si>
    <t>CASH FLOW:</t>
  </si>
  <si>
    <t>Number of shares</t>
  </si>
  <si>
    <t>Current Price</t>
  </si>
  <si>
    <t>Inventory</t>
  </si>
  <si>
    <t>Return on Equity</t>
  </si>
  <si>
    <t>LATEST VERSION</t>
  </si>
  <si>
    <t>CURRENT VERSION</t>
  </si>
  <si>
    <t>HINDUSTAN UNILEVER LTD</t>
  </si>
  <si>
    <t>META</t>
  </si>
  <si>
    <t>Dividend Amount</t>
  </si>
  <si>
    <t>Borrowings</t>
  </si>
  <si>
    <t>Other Liabilities</t>
  </si>
  <si>
    <t>Other Assets</t>
  </si>
  <si>
    <t>No. of Equity Shares</t>
  </si>
  <si>
    <t>New Bonus Shares</t>
  </si>
  <si>
    <t>DERIVED:</t>
  </si>
  <si>
    <t>PRICE:</t>
  </si>
  <si>
    <t>Receivables</t>
  </si>
  <si>
    <t>Market Capitalization</t>
  </si>
  <si>
    <t>Raw Material Cost</t>
  </si>
  <si>
    <t>Change in Inventory</t>
  </si>
  <si>
    <t>Power and Fuel</t>
  </si>
  <si>
    <t>Other Mfr. Exp</t>
  </si>
  <si>
    <t>Employee Cost</t>
  </si>
  <si>
    <t>Selling and admin</t>
  </si>
  <si>
    <t>Other Expenses</t>
  </si>
  <si>
    <t>Cash &amp; Bank</t>
  </si>
  <si>
    <t>Face value</t>
  </si>
  <si>
    <t>Adjusted Equity Shares in Cr</t>
  </si>
  <si>
    <t>Historical Financial Analysis of Hul</t>
  </si>
  <si>
    <t>#</t>
  </si>
  <si>
    <t>Income Statement</t>
  </si>
  <si>
    <t>Year</t>
  </si>
  <si>
    <t>COGS</t>
  </si>
  <si>
    <t>COGS%Sales</t>
  </si>
  <si>
    <t>Gross Profit</t>
  </si>
  <si>
    <t>Gross Profit Margin</t>
  </si>
  <si>
    <t>Selling and General Expenses</t>
  </si>
  <si>
    <t>EBITDA</t>
  </si>
  <si>
    <t>EBITDA Margins</t>
  </si>
  <si>
    <t>EBIT</t>
  </si>
  <si>
    <t>EBIT Margins</t>
  </si>
  <si>
    <t>Interest Margins</t>
  </si>
  <si>
    <t>EBT</t>
  </si>
  <si>
    <t>EBT Margins</t>
  </si>
  <si>
    <t>Net Profit</t>
  </si>
  <si>
    <t>Net Profit Margins</t>
  </si>
  <si>
    <t>-</t>
  </si>
  <si>
    <t>Balance Sheet</t>
  </si>
  <si>
    <t>Total Non Current Assets</t>
  </si>
  <si>
    <t>Total Current Assets</t>
  </si>
  <si>
    <t>Total Liabilities</t>
  </si>
  <si>
    <t>Total Assets</t>
  </si>
  <si>
    <t>Match</t>
  </si>
  <si>
    <t>Cash Flow Statement</t>
  </si>
  <si>
    <t>Ratio Analysis for HUL</t>
  </si>
  <si>
    <t xml:space="preserve">Return on Assets </t>
  </si>
  <si>
    <t>Debt/Equit</t>
  </si>
  <si>
    <t>Debt Ratio</t>
  </si>
  <si>
    <t>Interest Coverage Ratio</t>
  </si>
  <si>
    <t>Assets Turnover Ratio</t>
  </si>
  <si>
    <t>Inventory Turnover Ratio</t>
  </si>
  <si>
    <t>Recievables Turnover Ratio</t>
  </si>
  <si>
    <t>Payables Turnover Ratio</t>
  </si>
  <si>
    <t>Fixed Assets Turnover Ratio</t>
  </si>
  <si>
    <t>Current Ratio</t>
  </si>
  <si>
    <t>Quick Ratio</t>
  </si>
  <si>
    <t>Cash Ratio</t>
  </si>
  <si>
    <t>Earning Per Share</t>
  </si>
  <si>
    <t>P/E Ratio</t>
  </si>
  <si>
    <t>Book Value Per Share</t>
  </si>
  <si>
    <t>DIO or Inventory Days</t>
  </si>
  <si>
    <t>Recievable Days</t>
  </si>
  <si>
    <t>Payables Days</t>
  </si>
  <si>
    <t>Cash Conversion Cycle</t>
  </si>
  <si>
    <t>(in Days)</t>
  </si>
  <si>
    <t>Profitability ratios</t>
  </si>
  <si>
    <t>Solvency Ratio</t>
  </si>
  <si>
    <t>Efficency Ratios</t>
  </si>
  <si>
    <t>Liquidity Ratios</t>
  </si>
  <si>
    <t>Market Ratio</t>
  </si>
  <si>
    <t>Operating Cycle Ratio</t>
  </si>
  <si>
    <t>Profit from operations</t>
  </si>
  <si>
    <t>Payables</t>
  </si>
  <si>
    <t>Loans Advances</t>
  </si>
  <si>
    <t>Operating Deposits</t>
  </si>
  <si>
    <t>Other WC items</t>
  </si>
  <si>
    <t>Working capital changes</t>
  </si>
  <si>
    <t>Direct taxes</t>
  </si>
  <si>
    <t>Other operating items</t>
  </si>
  <si>
    <t>Exceptional CF items</t>
  </si>
  <si>
    <t>Fixed assets purchased</t>
  </si>
  <si>
    <t>Fixed assets sold</t>
  </si>
  <si>
    <t>Investments purchased</t>
  </si>
  <si>
    <t>Investments sold</t>
  </si>
  <si>
    <t>Interest received</t>
  </si>
  <si>
    <t>Dividends received</t>
  </si>
  <si>
    <t>Invest in subsidiaries</t>
  </si>
  <si>
    <t>Loans to subsidiaries</t>
  </si>
  <si>
    <t>Redemp n Canc of Shares</t>
  </si>
  <si>
    <t>Acquisition of companies</t>
  </si>
  <si>
    <t>Other investing items</t>
  </si>
  <si>
    <t>Proceeds from shares</t>
  </si>
  <si>
    <t>Proceeds from borrowings</t>
  </si>
  <si>
    <t>Repayment of borrowings</t>
  </si>
  <si>
    <t>Interest paid fin</t>
  </si>
  <si>
    <t>Dividends paid</t>
  </si>
  <si>
    <t>Financial liabilities</t>
  </si>
  <si>
    <t>Other financing items</t>
  </si>
  <si>
    <t xml:space="preserve">  </t>
  </si>
  <si>
    <t>Trade payables</t>
  </si>
  <si>
    <t>Trade Payable</t>
  </si>
  <si>
    <t>Manual Data Enter</t>
  </si>
  <si>
    <t>Current Liabilities in this sheet formate</t>
  </si>
  <si>
    <t xml:space="preserve">Current Liabilities </t>
  </si>
  <si>
    <t xml:space="preserve">Equity (E) </t>
  </si>
  <si>
    <t xml:space="preserve">Debt (D) </t>
  </si>
  <si>
    <t>Rf</t>
  </si>
  <si>
    <t>Rm</t>
  </si>
  <si>
    <t>Beta</t>
  </si>
  <si>
    <t>Tax Rate</t>
  </si>
  <si>
    <t>Kd</t>
  </si>
  <si>
    <t>Cost of equity</t>
  </si>
  <si>
    <t>ew</t>
  </si>
  <si>
    <t>dw</t>
  </si>
  <si>
    <t>WACC</t>
  </si>
  <si>
    <r>
      <t>18,19,648</t>
    </r>
    <r>
      <rPr>
        <sz val="9"/>
        <color theme="1"/>
        <rFont val="Arial"/>
        <family val="2"/>
      </rPr>
      <t> </t>
    </r>
  </si>
  <si>
    <r>
      <t>3,74,593</t>
    </r>
    <r>
      <rPr>
        <sz val="9"/>
        <color theme="1"/>
        <rFont val="Arial"/>
        <family val="2"/>
      </rPr>
      <t> </t>
    </r>
  </si>
  <si>
    <t>ERP</t>
  </si>
  <si>
    <t>Decpreciation</t>
  </si>
  <si>
    <t>Cap Exp</t>
  </si>
  <si>
    <t>Non-cash WC</t>
  </si>
  <si>
    <t>FCF</t>
  </si>
  <si>
    <t>Growth Rate</t>
  </si>
  <si>
    <t>Terminal Value</t>
  </si>
  <si>
    <t>PV of FCF</t>
  </si>
  <si>
    <t>PV of Terminal Value</t>
  </si>
  <si>
    <t>Enterpise Value</t>
  </si>
  <si>
    <t>Discount Factor</t>
  </si>
  <si>
    <t>Equity Value</t>
  </si>
  <si>
    <t>No. of Shares</t>
  </si>
  <si>
    <t>Share Price</t>
  </si>
  <si>
    <t>Revenue</t>
  </si>
  <si>
    <t>YoY Growth</t>
  </si>
  <si>
    <t>Why Hul Growth Rate is so low after 2023?</t>
  </si>
  <si>
    <t>Name</t>
  </si>
  <si>
    <t>Shares Outstanding</t>
  </si>
  <si>
    <t>Market Cap</t>
  </si>
  <si>
    <t>Net Debt</t>
  </si>
  <si>
    <t>Enterprise Value</t>
  </si>
  <si>
    <t>Net Income</t>
  </si>
  <si>
    <t>EV/Revenue</t>
  </si>
  <si>
    <t>P/E</t>
  </si>
  <si>
    <t>ITC</t>
  </si>
  <si>
    <t>Hindustan Foods</t>
  </si>
  <si>
    <t>High</t>
  </si>
  <si>
    <t>Median</t>
  </si>
  <si>
    <t>Average</t>
  </si>
  <si>
    <t>First Quartile</t>
  </si>
  <si>
    <t>Low</t>
  </si>
  <si>
    <t>Hind. Unilever LTD.</t>
  </si>
  <si>
    <t>Implied Enterprise Value</t>
  </si>
  <si>
    <t>Implied Market Value</t>
  </si>
  <si>
    <t>Market Data</t>
  </si>
  <si>
    <t>Financials</t>
  </si>
  <si>
    <t>Valuation</t>
  </si>
  <si>
    <t>Implied Value Per Share</t>
  </si>
  <si>
    <t>Third Quartile</t>
  </si>
  <si>
    <t>Godavari Bioref</t>
  </si>
  <si>
    <t>EV/EBITDA</t>
  </si>
  <si>
    <t>Common Size Income Statement for Hul</t>
  </si>
  <si>
    <t>Common Size Balance Sheet for Hul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</si>
</sst>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&quot;₹&quot;\ #,##0.00;[Red]&quot;₹&quot;\ \-#,##0.00"/>
    <numFmt numFmtId="43" formatCode="_ * #,##0.00_ ;_ * \-#,##0.00_ ;_ * &quot;-&quot;??_ ;_ @_ "/>
    <numFmt numFmtId="164" formatCode="_(* #,##0.00_);_(* \(#,##0.00\);_(* &quot;-&quot;??_);_(@_)"/>
    <numFmt numFmtId="165" formatCode="[$-409]mmm\-yy;@"/>
    <numFmt numFmtId="166" formatCode="&quot;₹&quot;\ #,##0.0;\(&quot;₹&quot;\ \-#,##0.0\)"/>
    <numFmt numFmtId="167" formatCode="0.0%"/>
    <numFmt numFmtId="168" formatCode="0.0000"/>
    <numFmt numFmtId="169" formatCode="0.000"/>
    <numFmt numFmtId="170" formatCode="&quot;₹&quot;\ #,##0.0;[Red]&quot;₹&quot;\ \-#,##0.0"/>
    <numFmt numFmtId="171" formatCode="0.00\ \x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 tint="0.499984740745262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22222F"/>
      <name val="Arial"/>
      <family val="2"/>
    </font>
    <font>
      <sz val="8"/>
      <name val="Calibri"/>
      <family val="2"/>
      <scheme val="minor"/>
    </font>
    <font>
      <sz val="9"/>
      <color theme="1"/>
      <name val="Segoe UI"/>
      <family val="2"/>
    </font>
    <font>
      <sz val="9"/>
      <color rgb="FF22222F"/>
      <name val="Arial"/>
      <family val="2"/>
    </font>
    <font>
      <sz val="9"/>
      <color theme="1"/>
      <name val="Arial"/>
      <family val="2"/>
    </font>
    <font>
      <sz val="11"/>
      <color theme="2" tint="-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rgb="FF0275D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F8F8FC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-0.499984740745262"/>
        <bgColor indexed="64"/>
      </patternFill>
    </fill>
  </fills>
  <borders count="7">
    <border>
      <left/>
      <right/>
      <top/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hair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/>
      <top/>
      <bottom style="thin">
        <color theme="0"/>
      </bottom>
      <diagonal/>
    </border>
  </borders>
  <cellStyleXfs count="5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top"/>
      <protection locked="0"/>
    </xf>
    <xf numFmtId="0" fontId="5" fillId="2" borderId="0" applyNumberFormat="0" applyBorder="0" applyAlignment="0" applyProtection="0"/>
    <xf numFmtId="9" fontId="3" fillId="0" borderId="0" applyFont="0" applyFill="0" applyBorder="0" applyAlignment="0" applyProtection="0"/>
  </cellStyleXfs>
  <cellXfs count="98">
    <xf numFmtId="0" fontId="0" fillId="0" borderId="0" xfId="0"/>
    <xf numFmtId="43" fontId="1" fillId="0" borderId="0" xfId="1" applyFont="1" applyBorder="1"/>
    <xf numFmtId="0" fontId="1" fillId="0" borderId="0" xfId="0" applyFont="1"/>
    <xf numFmtId="43" fontId="0" fillId="0" borderId="0" xfId="1" applyFont="1" applyBorder="1"/>
    <xf numFmtId="10" fontId="0" fillId="0" borderId="0" xfId="0" applyNumberFormat="1"/>
    <xf numFmtId="43" fontId="3" fillId="0" borderId="0" xfId="1" applyFont="1" applyBorder="1"/>
    <xf numFmtId="165" fontId="2" fillId="3" borderId="0" xfId="0" applyNumberFormat="1" applyFont="1" applyFill="1" applyAlignment="1">
      <alignment horizontal="center"/>
    </xf>
    <xf numFmtId="165" fontId="2" fillId="3" borderId="0" xfId="1" applyNumberFormat="1" applyFont="1" applyFill="1" applyBorder="1"/>
    <xf numFmtId="165" fontId="6" fillId="0" borderId="0" xfId="1" applyNumberFormat="1" applyFont="1" applyFill="1" applyBorder="1"/>
    <xf numFmtId="0" fontId="0" fillId="0" borderId="0" xfId="0" applyAlignment="1">
      <alignment horizontal="left"/>
    </xf>
    <xf numFmtId="164" fontId="0" fillId="0" borderId="0" xfId="1" applyNumberFormat="1" applyFont="1" applyBorder="1"/>
    <xf numFmtId="0" fontId="0" fillId="0" borderId="0" xfId="0" applyAlignment="1">
      <alignment wrapText="1"/>
    </xf>
    <xf numFmtId="166" fontId="0" fillId="0" borderId="0" xfId="0" applyNumberFormat="1"/>
    <xf numFmtId="166" fontId="0" fillId="0" borderId="0" xfId="0" applyNumberFormat="1" applyAlignment="1">
      <alignment horizontal="right"/>
    </xf>
    <xf numFmtId="0" fontId="0" fillId="5" borderId="0" xfId="0" applyFill="1" applyAlignment="1">
      <alignment horizontal="right"/>
    </xf>
    <xf numFmtId="0" fontId="0" fillId="0" borderId="0" xfId="0" applyAlignment="1">
      <alignment horizontal="right"/>
    </xf>
    <xf numFmtId="17" fontId="5" fillId="4" borderId="0" xfId="0" applyNumberFormat="1" applyFont="1" applyFill="1" applyAlignment="1">
      <alignment horizontal="right"/>
    </xf>
    <xf numFmtId="166" fontId="7" fillId="6" borderId="0" xfId="0" applyNumberFormat="1" applyFont="1" applyFill="1" applyAlignment="1">
      <alignment horizontal="right"/>
    </xf>
    <xf numFmtId="167" fontId="7" fillId="6" borderId="0" xfId="0" applyNumberFormat="1" applyFont="1" applyFill="1" applyAlignment="1">
      <alignment horizontal="right"/>
    </xf>
    <xf numFmtId="0" fontId="5" fillId="4" borderId="0" xfId="0" applyFont="1" applyFill="1" applyAlignment="1">
      <alignment horizontal="left"/>
    </xf>
    <xf numFmtId="0" fontId="0" fillId="5" borderId="0" xfId="0" applyFill="1" applyAlignment="1">
      <alignment horizontal="left"/>
    </xf>
    <xf numFmtId="0" fontId="7" fillId="6" borderId="0" xfId="0" applyFont="1" applyFill="1" applyAlignment="1">
      <alignment horizontal="left"/>
    </xf>
    <xf numFmtId="43" fontId="3" fillId="0" borderId="0" xfId="1" applyFont="1" applyBorder="1" applyAlignment="1">
      <alignment horizontal="left"/>
    </xf>
    <xf numFmtId="0" fontId="0" fillId="0" borderId="1" xfId="0" applyBorder="1" applyAlignment="1">
      <alignment horizontal="left"/>
    </xf>
    <xf numFmtId="166" fontId="0" fillId="0" borderId="1" xfId="0" applyNumberFormat="1" applyBorder="1" applyAlignment="1">
      <alignment horizontal="right"/>
    </xf>
    <xf numFmtId="0" fontId="1" fillId="0" borderId="0" xfId="0" applyFont="1" applyAlignment="1">
      <alignment horizontal="left"/>
    </xf>
    <xf numFmtId="43" fontId="0" fillId="0" borderId="0" xfId="0" applyNumberFormat="1" applyAlignment="1">
      <alignment horizontal="left"/>
    </xf>
    <xf numFmtId="0" fontId="1" fillId="0" borderId="2" xfId="0" applyFont="1" applyBorder="1"/>
    <xf numFmtId="166" fontId="1" fillId="0" borderId="2" xfId="0" applyNumberFormat="1" applyFont="1" applyBorder="1"/>
    <xf numFmtId="0" fontId="1" fillId="0" borderId="2" xfId="0" applyFont="1" applyBorder="1" applyAlignment="1">
      <alignment horizontal="left"/>
    </xf>
    <xf numFmtId="0" fontId="0" fillId="0" borderId="3" xfId="0" applyBorder="1"/>
    <xf numFmtId="166" fontId="0" fillId="0" borderId="3" xfId="0" applyNumberFormat="1" applyBorder="1"/>
    <xf numFmtId="0" fontId="0" fillId="0" borderId="3" xfId="0" applyBorder="1" applyAlignment="1">
      <alignment horizontal="left"/>
    </xf>
    <xf numFmtId="0" fontId="1" fillId="0" borderId="1" xfId="0" applyFont="1" applyBorder="1" applyAlignment="1">
      <alignment horizontal="left"/>
    </xf>
    <xf numFmtId="166" fontId="1" fillId="0" borderId="1" xfId="0" applyNumberFormat="1" applyFont="1" applyBorder="1" applyAlignment="1">
      <alignment horizontal="right"/>
    </xf>
    <xf numFmtId="17" fontId="5" fillId="7" borderId="0" xfId="0" applyNumberFormat="1" applyFont="1" applyFill="1"/>
    <xf numFmtId="2" fontId="0" fillId="0" borderId="0" xfId="0" applyNumberFormat="1"/>
    <xf numFmtId="1" fontId="0" fillId="0" borderId="0" xfId="0" applyNumberFormat="1"/>
    <xf numFmtId="0" fontId="5" fillId="7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43" fontId="0" fillId="0" borderId="0" xfId="0" applyNumberFormat="1"/>
    <xf numFmtId="0" fontId="9" fillId="8" borderId="0" xfId="0" applyFont="1" applyFill="1" applyAlignment="1">
      <alignment horizontal="right" vertical="center" wrapText="1"/>
    </xf>
    <xf numFmtId="166" fontId="1" fillId="0" borderId="0" xfId="0" applyNumberFormat="1" applyFont="1"/>
    <xf numFmtId="43" fontId="1" fillId="0" borderId="2" xfId="1" applyFont="1" applyBorder="1"/>
    <xf numFmtId="17" fontId="5" fillId="9" borderId="0" xfId="0" applyNumberFormat="1" applyFont="1" applyFill="1" applyAlignment="1">
      <alignment horizontal="right"/>
    </xf>
    <xf numFmtId="167" fontId="7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0" fontId="0" fillId="10" borderId="0" xfId="0" applyFill="1"/>
    <xf numFmtId="166" fontId="0" fillId="10" borderId="1" xfId="0" applyNumberFormat="1" applyFill="1" applyBorder="1" applyAlignment="1">
      <alignment horizontal="right"/>
    </xf>
    <xf numFmtId="166" fontId="1" fillId="10" borderId="1" xfId="0" applyNumberFormat="1" applyFont="1" applyFill="1" applyBorder="1" applyAlignment="1">
      <alignment horizontal="right"/>
    </xf>
    <xf numFmtId="166" fontId="0" fillId="10" borderId="3" xfId="0" applyNumberFormat="1" applyFill="1" applyBorder="1"/>
    <xf numFmtId="43" fontId="1" fillId="0" borderId="4" xfId="1" applyFont="1" applyBorder="1"/>
    <xf numFmtId="166" fontId="1" fillId="0" borderId="4" xfId="0" applyNumberFormat="1" applyFont="1" applyBorder="1"/>
    <xf numFmtId="3" fontId="9" fillId="11" borderId="0" xfId="0" applyNumberFormat="1" applyFont="1" applyFill="1" applyAlignment="1">
      <alignment horizontal="right" vertical="center" wrapText="1"/>
    </xf>
    <xf numFmtId="0" fontId="11" fillId="0" borderId="0" xfId="0" applyFont="1" applyAlignment="1">
      <alignment vertical="center"/>
    </xf>
    <xf numFmtId="10" fontId="0" fillId="10" borderId="0" xfId="0" applyNumberFormat="1" applyFill="1"/>
    <xf numFmtId="2" fontId="0" fillId="10" borderId="0" xfId="0" applyNumberFormat="1" applyFill="1"/>
    <xf numFmtId="1" fontId="0" fillId="10" borderId="0" xfId="0" applyNumberFormat="1" applyFill="1"/>
    <xf numFmtId="0" fontId="12" fillId="0" borderId="0" xfId="0" applyFont="1"/>
    <xf numFmtId="9" fontId="0" fillId="0" borderId="0" xfId="4" applyFont="1"/>
    <xf numFmtId="10" fontId="0" fillId="0" borderId="0" xfId="4" applyNumberFormat="1" applyFont="1"/>
    <xf numFmtId="10" fontId="0" fillId="0" borderId="0" xfId="4" applyNumberFormat="1" applyFont="1" applyBorder="1"/>
    <xf numFmtId="168" fontId="0" fillId="0" borderId="0" xfId="0" applyNumberFormat="1"/>
    <xf numFmtId="169" fontId="0" fillId="0" borderId="0" xfId="0" applyNumberFormat="1"/>
    <xf numFmtId="0" fontId="1" fillId="13" borderId="0" xfId="0" applyFont="1" applyFill="1"/>
    <xf numFmtId="10" fontId="1" fillId="13" borderId="0" xfId="4" applyNumberFormat="1" applyFont="1" applyFill="1"/>
    <xf numFmtId="10" fontId="14" fillId="0" borderId="0" xfId="4" applyNumberFormat="1" applyFont="1"/>
    <xf numFmtId="0" fontId="14" fillId="0" borderId="0" xfId="0" applyFont="1"/>
    <xf numFmtId="170" fontId="0" fillId="0" borderId="0" xfId="0" applyNumberFormat="1"/>
    <xf numFmtId="8" fontId="0" fillId="0" borderId="0" xfId="0" applyNumberFormat="1"/>
    <xf numFmtId="170" fontId="14" fillId="0" borderId="0" xfId="0" applyNumberFormat="1" applyFont="1"/>
    <xf numFmtId="8" fontId="1" fillId="0" borderId="0" xfId="0" applyNumberFormat="1" applyFont="1"/>
    <xf numFmtId="169" fontId="1" fillId="0" borderId="0" xfId="0" applyNumberFormat="1" applyFont="1"/>
    <xf numFmtId="4" fontId="1" fillId="0" borderId="5" xfId="0" applyNumberFormat="1" applyFont="1" applyBorder="1"/>
    <xf numFmtId="0" fontId="5" fillId="14" borderId="0" xfId="0" applyFont="1" applyFill="1" applyAlignment="1">
      <alignment horizontal="left"/>
    </xf>
    <xf numFmtId="17" fontId="0" fillId="0" borderId="0" xfId="0" applyNumberFormat="1" applyAlignment="1">
      <alignment horizontal="left"/>
    </xf>
    <xf numFmtId="0" fontId="5" fillId="14" borderId="0" xfId="0" applyFont="1" applyFill="1" applyAlignment="1">
      <alignment horizontal="right"/>
    </xf>
    <xf numFmtId="170" fontId="0" fillId="0" borderId="0" xfId="0" applyNumberFormat="1" applyAlignment="1">
      <alignment horizontal="right"/>
    </xf>
    <xf numFmtId="167" fontId="0" fillId="0" borderId="0" xfId="0" applyNumberFormat="1" applyAlignment="1">
      <alignment horizontal="right"/>
    </xf>
    <xf numFmtId="0" fontId="5" fillId="7" borderId="0" xfId="0" applyFont="1" applyFill="1" applyAlignment="1" applyProtection="1">
      <alignment horizontal="center"/>
      <protection locked="0"/>
    </xf>
    <xf numFmtId="0" fontId="5" fillId="7" borderId="0" xfId="0" applyFont="1" applyFill="1" applyProtection="1">
      <protection locked="0"/>
    </xf>
    <xf numFmtId="8" fontId="14" fillId="0" borderId="0" xfId="0" applyNumberFormat="1" applyFont="1"/>
    <xf numFmtId="171" fontId="0" fillId="0" borderId="0" xfId="0" applyNumberFormat="1"/>
    <xf numFmtId="171" fontId="1" fillId="0" borderId="0" xfId="0" applyNumberFormat="1" applyFont="1"/>
    <xf numFmtId="0" fontId="5" fillId="0" borderId="0" xfId="0" applyFont="1"/>
    <xf numFmtId="17" fontId="5" fillId="0" borderId="0" xfId="0" applyNumberFormat="1" applyFont="1" applyAlignment="1">
      <alignment horizontal="right"/>
    </xf>
    <xf numFmtId="43" fontId="1" fillId="0" borderId="2" xfId="0" applyNumberFormat="1" applyFont="1" applyBorder="1"/>
    <xf numFmtId="10" fontId="1" fillId="0" borderId="2" xfId="4" applyNumberFormat="1" applyFont="1" applyBorder="1"/>
    <xf numFmtId="43" fontId="1" fillId="0" borderId="0" xfId="0" applyNumberFormat="1" applyFont="1"/>
    <xf numFmtId="10" fontId="1" fillId="0" borderId="0" xfId="4" applyNumberFormat="1" applyFont="1"/>
    <xf numFmtId="0" fontId="5" fillId="12" borderId="0" xfId="0" applyFont="1" applyFill="1" applyAlignment="1">
      <alignment horizontal="center"/>
    </xf>
    <xf numFmtId="43" fontId="4" fillId="0" borderId="0" xfId="2" applyNumberFormat="1" applyBorder="1" applyAlignment="1" applyProtection="1">
      <alignment horizontal="center"/>
    </xf>
    <xf numFmtId="43" fontId="2" fillId="2" borderId="0" xfId="3" applyNumberFormat="1" applyFont="1" applyBorder="1" applyAlignment="1">
      <alignment horizontal="center"/>
    </xf>
    <xf numFmtId="0" fontId="5" fillId="4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7" borderId="0" xfId="0" applyFont="1" applyFill="1" applyAlignment="1" applyProtection="1">
      <alignment horizontal="center"/>
      <protection locked="0"/>
    </xf>
    <xf numFmtId="0" fontId="5" fillId="7" borderId="6" xfId="0" applyFont="1" applyFill="1" applyBorder="1" applyAlignment="1" applyProtection="1">
      <alignment horizontal="center"/>
      <protection locked="0"/>
    </xf>
    <xf numFmtId="0" fontId="5" fillId="14" borderId="0" xfId="0" applyFont="1" applyFill="1" applyAlignment="1">
      <alignment horizontal="center"/>
    </xf>
  </cellXfs>
  <cellStyles count="5">
    <cellStyle name="Accent6" xfId="3" builtinId="49"/>
    <cellStyle name="Comma" xfId="1" builtinId="3"/>
    <cellStyle name="Hyperlink" xfId="2" builtinId="8"/>
    <cellStyle name="Normal" xfId="0" builtinId="0"/>
    <cellStyle name="Percent" xfId="4" builtinId="5"/>
  </cellStyles>
  <dxfs count="1">
    <dxf>
      <font>
        <b/>
        <i val="0"/>
        <color theme="0"/>
      </font>
      <fill>
        <patternFill>
          <bgColor theme="5"/>
        </patternFill>
      </fill>
    </dxf>
  </dxfs>
  <tableStyles count="0" defaultTableStyle="TableStyleMedium9" defaultPivotStyle="PivotStyleLight16"/>
  <colors>
    <mruColors>
      <color rgb="FF0275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YoY Growth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TrendAnalysis!$B$4:$B$18</c:f>
              <c:numCache>
                <c:formatCode>mmm\-yy</c:formatCode>
                <c:ptCount val="15"/>
                <c:pt idx="0">
                  <c:v>42460</c:v>
                </c:pt>
                <c:pt idx="1">
                  <c:v>42825</c:v>
                </c:pt>
                <c:pt idx="2">
                  <c:v>43190</c:v>
                </c:pt>
                <c:pt idx="3">
                  <c:v>43555</c:v>
                </c:pt>
                <c:pt idx="4">
                  <c:v>43921</c:v>
                </c:pt>
                <c:pt idx="5">
                  <c:v>44286</c:v>
                </c:pt>
                <c:pt idx="6">
                  <c:v>44651</c:v>
                </c:pt>
                <c:pt idx="7">
                  <c:v>45016</c:v>
                </c:pt>
                <c:pt idx="8">
                  <c:v>45382</c:v>
                </c:pt>
                <c:pt idx="9">
                  <c:v>45747</c:v>
                </c:pt>
                <c:pt idx="10">
                  <c:v>46112</c:v>
                </c:pt>
                <c:pt idx="11">
                  <c:v>46477</c:v>
                </c:pt>
                <c:pt idx="12">
                  <c:v>46843</c:v>
                </c:pt>
                <c:pt idx="13">
                  <c:v>47208</c:v>
                </c:pt>
                <c:pt idx="14">
                  <c:v>47573</c:v>
                </c:pt>
              </c:numCache>
            </c:numRef>
          </c:cat>
          <c:val>
            <c:numRef>
              <c:f>TrendAnalysis!$D$4:$D$18</c:f>
              <c:numCache>
                <c:formatCode>0.0%</c:formatCode>
                <c:ptCount val="15"/>
                <c:pt idx="0" formatCode="General">
                  <c:v>0</c:v>
                </c:pt>
                <c:pt idx="1">
                  <c:v>3.03237432424035E-2</c:v>
                </c:pt>
                <c:pt idx="2">
                  <c:v>7.1859357095470644E-2</c:v>
                </c:pt>
                <c:pt idx="3">
                  <c:v>0.1059220706147137</c:v>
                </c:pt>
                <c:pt idx="4">
                  <c:v>1.2032561689137689E-2</c:v>
                </c:pt>
                <c:pt idx="5">
                  <c:v>0.18211296282331646</c:v>
                </c:pt>
                <c:pt idx="6">
                  <c:v>0.11520796121459553</c:v>
                </c:pt>
                <c:pt idx="7">
                  <c:v>0.15509285741524614</c:v>
                </c:pt>
                <c:pt idx="8">
                  <c:v>2.1723341036645749E-2</c:v>
                </c:pt>
                <c:pt idx="9">
                  <c:v>1.9791262763344974E-2</c:v>
                </c:pt>
                <c:pt idx="10">
                  <c:v>8.0729886256992511E-2</c:v>
                </c:pt>
                <c:pt idx="11">
                  <c:v>7.1279397491024188E-2</c:v>
                </c:pt>
                <c:pt idx="12">
                  <c:v>6.4027166848723782E-2</c:v>
                </c:pt>
                <c:pt idx="13">
                  <c:v>5.8003891461311241E-2</c:v>
                </c:pt>
                <c:pt idx="14">
                  <c:v>5.4778157185825904E-2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D7-4C52-A530-3F04A472C68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71290144"/>
        <c:axId val="16022435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t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numRef>
                    <c:extLst>
                      <c:ext uri="{02D57815-91ED-43cb-92C2-25804820EDAC}">
                        <c15:formulaRef>
                          <c15:sqref>TrendAnalysis!$B$4:$B$18</c15:sqref>
                        </c15:formulaRef>
                      </c:ext>
                    </c:extLst>
                    <c:numCache>
                      <c:formatCode>mmm\-yy</c:formatCode>
                      <c:ptCount val="15"/>
                      <c:pt idx="0">
                        <c:v>42460</c:v>
                      </c:pt>
                      <c:pt idx="1">
                        <c:v>42825</c:v>
                      </c:pt>
                      <c:pt idx="2">
                        <c:v>43190</c:v>
                      </c:pt>
                      <c:pt idx="3">
                        <c:v>43555</c:v>
                      </c:pt>
                      <c:pt idx="4">
                        <c:v>43921</c:v>
                      </c:pt>
                      <c:pt idx="5">
                        <c:v>44286</c:v>
                      </c:pt>
                      <c:pt idx="6">
                        <c:v>44651</c:v>
                      </c:pt>
                      <c:pt idx="7">
                        <c:v>45016</c:v>
                      </c:pt>
                      <c:pt idx="8">
                        <c:v>45382</c:v>
                      </c:pt>
                      <c:pt idx="9">
                        <c:v>45747</c:v>
                      </c:pt>
                      <c:pt idx="10">
                        <c:v>46112</c:v>
                      </c:pt>
                      <c:pt idx="11">
                        <c:v>46477</c:v>
                      </c:pt>
                      <c:pt idx="12">
                        <c:v>46843</c:v>
                      </c:pt>
                      <c:pt idx="13">
                        <c:v>47208</c:v>
                      </c:pt>
                      <c:pt idx="14">
                        <c:v>47573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TrendAnalysis!$C$4:$C$18</c15:sqref>
                        </c15:formulaRef>
                      </c:ext>
                    </c:extLst>
                    <c:numCache>
                      <c:formatCode>"₹"\ #,##0.0;[Red]"₹"\ \-#,##0.0</c:formatCode>
                      <c:ptCount val="15"/>
                      <c:pt idx="0">
                        <c:v>32186</c:v>
                      </c:pt>
                      <c:pt idx="1">
                        <c:v>33162</c:v>
                      </c:pt>
                      <c:pt idx="2">
                        <c:v>35545</c:v>
                      </c:pt>
                      <c:pt idx="3">
                        <c:v>39310</c:v>
                      </c:pt>
                      <c:pt idx="4">
                        <c:v>39783</c:v>
                      </c:pt>
                      <c:pt idx="5">
                        <c:v>47028</c:v>
                      </c:pt>
                      <c:pt idx="6">
                        <c:v>52446</c:v>
                      </c:pt>
                      <c:pt idx="7">
                        <c:v>60580</c:v>
                      </c:pt>
                      <c:pt idx="8">
                        <c:v>61896</c:v>
                      </c:pt>
                      <c:pt idx="9">
                        <c:v>63121</c:v>
                      </c:pt>
                      <c:pt idx="10">
                        <c:v>68216.751150427619</c:v>
                      </c:pt>
                      <c:pt idx="11">
                        <c:v>73079.200071225234</c:v>
                      </c:pt>
                      <c:pt idx="12">
                        <c:v>77758.254207356833</c:v>
                      </c:pt>
                      <c:pt idx="13">
                        <c:v>82268.535544621409</c:v>
                      </c:pt>
                      <c:pt idx="14">
                        <c:v>86775.054316132388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4DD7-4C52-A530-3F04A472C68D}"/>
                  </c:ext>
                </c:extLst>
              </c15:ser>
            </c15:filteredLineSeries>
          </c:ext>
        </c:extLst>
      </c:lineChart>
      <c:dateAx>
        <c:axId val="171290144"/>
        <c:scaling>
          <c:orientation val="minMax"/>
        </c:scaling>
        <c:delete val="0"/>
        <c:axPos val="b"/>
        <c:numFmt formatCode="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224352"/>
        <c:crosses val="autoZero"/>
        <c:auto val="1"/>
        <c:lblOffset val="100"/>
        <c:baseTimeUnit val="months"/>
      </c:dateAx>
      <c:valAx>
        <c:axId val="160224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9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487680</xdr:colOff>
      <xdr:row>1</xdr:row>
      <xdr:rowOff>7620</xdr:rowOff>
    </xdr:from>
    <xdr:to>
      <xdr:col>15</xdr:col>
      <xdr:colOff>22860</xdr:colOff>
      <xdr:row>17</xdr:row>
      <xdr:rowOff>175260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60B5B9-4CA2-7544-FC16-26EC8B4F13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</xdr:col>
      <xdr:colOff>38100</xdr:colOff>
      <xdr:row>22</xdr:row>
      <xdr:rowOff>38100</xdr:rowOff>
    </xdr:from>
    <xdr:ext cx="6579271" cy="78124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FF8C4DE-8FF3-61CC-0FEA-275703B29F38}"/>
            </a:ext>
          </a:extLst>
        </xdr:cNvPr>
        <xdr:cNvSpPr txBox="1"/>
      </xdr:nvSpPr>
      <xdr:spPr>
        <a:xfrm>
          <a:off x="167640" y="4061460"/>
          <a:ext cx="6579271" cy="78124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IN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Weak rural and urban demand recovery post-inflation, uneven monsoons, and slower market growth constrained volumes across segments. Input cost inflation (e.g., tea up 12%, palm oil 7% in 2024) outpaced price hikes, leading to negative pricing in some areas like Home Care. Competition intensified, eroding HUL's market share from 95% to 87% over five years, with peers like Dabur outperforming on sales growth.</a:t>
          </a:r>
          <a:endParaRPr lang="en-IN" sz="1100" b="1"/>
        </a:p>
      </xdr:txBody>
    </xdr:sp>
    <xdr:clientData/>
  </xdr:oneCellAnchor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djacency">
  <a:themeElements>
    <a:clrScheme name="Concourse">
      <a:dk1>
        <a:sysClr val="windowText" lastClr="000000"/>
      </a:dk1>
      <a:lt1>
        <a:sysClr val="window" lastClr="FFFFFF"/>
      </a:lt1>
      <a:dk2>
        <a:srgbClr val="464646"/>
      </a:dk2>
      <a:lt2>
        <a:srgbClr val="DEF5FA"/>
      </a:lt2>
      <a:accent1>
        <a:srgbClr val="2DA2BF"/>
      </a:accent1>
      <a:accent2>
        <a:srgbClr val="DA1F28"/>
      </a:accent2>
      <a:accent3>
        <a:srgbClr val="EB641B"/>
      </a:accent3>
      <a:accent4>
        <a:srgbClr val="39639D"/>
      </a:accent4>
      <a:accent5>
        <a:srgbClr val="474B78"/>
      </a:accent5>
      <a:accent6>
        <a:srgbClr val="7D3C4A"/>
      </a:accent6>
      <a:hlink>
        <a:srgbClr val="FF8119"/>
      </a:hlink>
      <a:folHlink>
        <a:srgbClr val="44B9E8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Adjacency">
      <a:fillStyleLst>
        <a:solidFill>
          <a:schemeClr val="phClr"/>
        </a:solidFill>
        <a:solidFill>
          <a:schemeClr val="phClr">
            <a:tint val="55000"/>
          </a:schemeClr>
        </a:solidFill>
        <a:solidFill>
          <a:schemeClr val="phClr"/>
        </a:solidFill>
      </a:fillStyleLst>
      <a:lnStyleLst>
        <a:ln w="12700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algn="bl" rotWithShape="0">
              <a:srgbClr val="000000">
                <a:alpha val="60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brightRoom" dir="tl">
              <a:rot lat="0" lon="0" rev="1800000"/>
            </a:lightRig>
          </a:scene3d>
          <a:sp3d contourW="10160" prstMaterial="dkEdge">
            <a:bevelT w="38100" h="50800" prst="angle"/>
            <a:contourClr>
              <a:schemeClr val="phClr">
                <a:shade val="40000"/>
                <a:satMod val="15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0000"/>
              </a:schemeClr>
            </a:gs>
            <a:gs pos="75000">
              <a:schemeClr val="phClr">
                <a:shade val="100000"/>
                <a:satMod val="115000"/>
              </a:schemeClr>
            </a:gs>
            <a:gs pos="100000">
              <a:schemeClr val="phClr">
                <a:shade val="70000"/>
                <a:satMod val="130000"/>
              </a:schemeClr>
            </a:gs>
          </a:gsLst>
          <a:path path="circle">
            <a:fillToRect l="20000" t="50000" r="100000" b="5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tint val="97000"/>
              </a:schemeClr>
              <a:schemeClr val="phClr">
                <a:shade val="96000"/>
              </a:schemeClr>
            </a:duotone>
          </a:blip>
          <a:tile tx="0" ty="0" sx="32000" sy="32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screener.in/excel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131"/>
  <sheetViews>
    <sheetView topLeftCell="A116" zoomScale="106" zoomScaleNormal="106" zoomScalePageLayoutView="120" workbookViewId="0">
      <selection activeCell="K131" sqref="K131"/>
    </sheetView>
  </sheetViews>
  <sheetFormatPr defaultColWidth="8.77734375" defaultRowHeight="14.4" x14ac:dyDescent="0.3"/>
  <cols>
    <col min="1" max="1" width="27.6640625" style="3" bestFit="1" customWidth="1"/>
    <col min="2" max="11" width="13.44140625" style="3" bestFit="1" customWidth="1"/>
    <col min="12" max="12" width="8.77734375" style="3"/>
    <col min="13" max="13" width="9.88671875" style="3" bestFit="1" customWidth="1"/>
    <col min="14" max="16384" width="8.77734375" style="3"/>
  </cols>
  <sheetData>
    <row r="1" spans="1:11" s="1" customFormat="1" x14ac:dyDescent="0.3">
      <c r="A1" s="1" t="s">
        <v>0</v>
      </c>
      <c r="B1" s="1" t="s">
        <v>34</v>
      </c>
      <c r="E1" s="91" t="str">
        <f>IF(B2&lt;&gt;B3, "A NEW VERSION OF THE WORKSHEET IS AVAILABLE", "")</f>
        <v>A NEW VERSION OF THE WORKSHEET IS AVAILABLE</v>
      </c>
      <c r="F1" s="91"/>
      <c r="G1" s="91"/>
      <c r="H1" s="91"/>
      <c r="I1" s="91"/>
      <c r="J1" s="91"/>
      <c r="K1" s="91"/>
    </row>
    <row r="2" spans="1:11" x14ac:dyDescent="0.3">
      <c r="A2" s="1" t="s">
        <v>32</v>
      </c>
      <c r="B2" s="3" t="str">
        <f>"WACC Calculation for "&amp;'Data Sheet'!B1</f>
        <v>WACC Calculation for HINDUSTAN UNILEVER LTD</v>
      </c>
      <c r="E2" s="92" t="s">
        <v>22</v>
      </c>
      <c r="F2" s="92"/>
      <c r="G2" s="92"/>
      <c r="H2" s="92"/>
      <c r="I2" s="92"/>
      <c r="J2" s="92"/>
      <c r="K2" s="92"/>
    </row>
    <row r="3" spans="1:11" x14ac:dyDescent="0.3">
      <c r="A3" s="1" t="s">
        <v>33</v>
      </c>
      <c r="B3" s="3">
        <v>2.1</v>
      </c>
    </row>
    <row r="4" spans="1:11" x14ac:dyDescent="0.3">
      <c r="A4" s="1"/>
      <c r="C4" s="58" t="s">
        <v>153</v>
      </c>
    </row>
    <row r="5" spans="1:11" x14ac:dyDescent="0.3">
      <c r="A5" s="1" t="s">
        <v>35</v>
      </c>
      <c r="C5" s="58" t="s">
        <v>154</v>
      </c>
    </row>
    <row r="6" spans="1:11" x14ac:dyDescent="0.3">
      <c r="A6" s="3" t="s">
        <v>28</v>
      </c>
      <c r="B6" s="3">
        <f>IF(B10&gt;0, B10/B9, 0)</f>
        <v>234.95914820192328</v>
      </c>
      <c r="C6" s="3">
        <v>6.71</v>
      </c>
    </row>
    <row r="7" spans="1:11" x14ac:dyDescent="0.3">
      <c r="A7" s="3" t="s">
        <v>17</v>
      </c>
      <c r="B7">
        <v>1</v>
      </c>
    </row>
    <row r="8" spans="1:11" x14ac:dyDescent="0.3">
      <c r="B8" t="s">
        <v>155</v>
      </c>
      <c r="C8" s="61">
        <v>4.1799999999999997E-2</v>
      </c>
    </row>
    <row r="9" spans="1:11" x14ac:dyDescent="0.3">
      <c r="A9" s="3" t="s">
        <v>29</v>
      </c>
      <c r="B9">
        <v>2376.15</v>
      </c>
      <c r="C9" s="3">
        <v>0.77</v>
      </c>
    </row>
    <row r="10" spans="1:11" x14ac:dyDescent="0.3">
      <c r="A10" s="3" t="s">
        <v>45</v>
      </c>
      <c r="B10">
        <v>558298.18000000005</v>
      </c>
      <c r="C10" s="3">
        <f>'3 Statement Model'!L31/'3 Statement Model'!L28</f>
        <v>0.28595432673947913</v>
      </c>
    </row>
    <row r="16" spans="1:11" x14ac:dyDescent="0.3">
      <c r="A16" s="1" t="s">
        <v>23</v>
      </c>
    </row>
    <row r="17" spans="1:11" s="8" customFormat="1" x14ac:dyDescent="0.3">
      <c r="A17" s="7" t="s">
        <v>24</v>
      </c>
      <c r="B17" s="6">
        <v>42460</v>
      </c>
      <c r="C17" s="6">
        <v>42825</v>
      </c>
      <c r="D17" s="6">
        <v>43190</v>
      </c>
      <c r="E17" s="6">
        <v>43555</v>
      </c>
      <c r="F17" s="6">
        <v>43921</v>
      </c>
      <c r="G17" s="6">
        <v>44286</v>
      </c>
      <c r="H17" s="6">
        <v>44651</v>
      </c>
      <c r="I17" s="6">
        <v>45016</v>
      </c>
      <c r="J17" s="6">
        <v>45382</v>
      </c>
      <c r="K17" s="6">
        <v>45747</v>
      </c>
    </row>
    <row r="18" spans="1:11" s="5" customFormat="1" x14ac:dyDescent="0.3">
      <c r="A18" s="5" t="s">
        <v>1</v>
      </c>
      <c r="B18">
        <v>32186</v>
      </c>
      <c r="C18">
        <v>33162</v>
      </c>
      <c r="D18">
        <v>35545</v>
      </c>
      <c r="E18">
        <v>39310</v>
      </c>
      <c r="F18">
        <v>39783</v>
      </c>
      <c r="G18">
        <v>47028</v>
      </c>
      <c r="H18">
        <v>52446</v>
      </c>
      <c r="I18">
        <v>60580</v>
      </c>
      <c r="J18">
        <v>61896</v>
      </c>
      <c r="K18">
        <v>63121</v>
      </c>
    </row>
    <row r="19" spans="1:11" s="5" customFormat="1" x14ac:dyDescent="0.3">
      <c r="A19" s="3" t="s">
        <v>46</v>
      </c>
      <c r="B19">
        <v>13184</v>
      </c>
      <c r="C19">
        <v>13606</v>
      </c>
      <c r="D19">
        <v>14233</v>
      </c>
      <c r="E19">
        <v>15845</v>
      </c>
      <c r="F19">
        <v>15697</v>
      </c>
      <c r="G19">
        <v>20141</v>
      </c>
      <c r="H19">
        <v>22871</v>
      </c>
      <c r="I19">
        <v>28427</v>
      </c>
      <c r="J19">
        <v>26822</v>
      </c>
      <c r="K19">
        <v>27344</v>
      </c>
    </row>
    <row r="20" spans="1:11" s="5" customFormat="1" x14ac:dyDescent="0.3">
      <c r="A20" s="3" t="s">
        <v>47</v>
      </c>
      <c r="B20">
        <v>-83</v>
      </c>
      <c r="C20">
        <v>-144</v>
      </c>
      <c r="D20">
        <v>72</v>
      </c>
      <c r="E20">
        <v>-12</v>
      </c>
      <c r="F20">
        <v>108</v>
      </c>
      <c r="G20">
        <v>405</v>
      </c>
      <c r="H20">
        <v>22</v>
      </c>
      <c r="I20">
        <v>75</v>
      </c>
      <c r="J20">
        <v>11</v>
      </c>
      <c r="K20">
        <v>153</v>
      </c>
    </row>
    <row r="21" spans="1:11" s="5" customFormat="1" x14ac:dyDescent="0.3">
      <c r="A21" s="3" t="s">
        <v>48</v>
      </c>
      <c r="B21">
        <v>309</v>
      </c>
      <c r="C21">
        <v>295</v>
      </c>
      <c r="D21">
        <v>295</v>
      </c>
      <c r="E21">
        <v>308</v>
      </c>
      <c r="F21">
        <v>299</v>
      </c>
      <c r="G21">
        <v>339</v>
      </c>
      <c r="H21">
        <v>318</v>
      </c>
      <c r="I21">
        <v>384</v>
      </c>
      <c r="J21">
        <v>446</v>
      </c>
      <c r="K21">
        <v>427</v>
      </c>
    </row>
    <row r="22" spans="1:11" s="5" customFormat="1" x14ac:dyDescent="0.3">
      <c r="A22" s="3" t="s">
        <v>49</v>
      </c>
      <c r="B22">
        <v>2966</v>
      </c>
      <c r="C22">
        <v>2887</v>
      </c>
      <c r="D22">
        <v>2998</v>
      </c>
      <c r="E22">
        <v>3041</v>
      </c>
      <c r="F22">
        <v>2906</v>
      </c>
      <c r="G22">
        <v>2868</v>
      </c>
      <c r="H22">
        <v>3354</v>
      </c>
      <c r="I22">
        <v>3791</v>
      </c>
      <c r="J22">
        <v>3385</v>
      </c>
      <c r="K22">
        <v>3834</v>
      </c>
    </row>
    <row r="23" spans="1:11" s="5" customFormat="1" x14ac:dyDescent="0.3">
      <c r="A23" s="3" t="s">
        <v>50</v>
      </c>
      <c r="B23">
        <v>1680</v>
      </c>
      <c r="C23">
        <v>1743</v>
      </c>
      <c r="D23">
        <v>1860</v>
      </c>
      <c r="E23">
        <v>1875</v>
      </c>
      <c r="F23">
        <v>1820</v>
      </c>
      <c r="G23">
        <v>2358</v>
      </c>
      <c r="H23">
        <v>2545</v>
      </c>
      <c r="I23">
        <v>2854</v>
      </c>
      <c r="J23">
        <v>3009</v>
      </c>
      <c r="K23">
        <v>3077</v>
      </c>
    </row>
    <row r="24" spans="1:11" s="5" customFormat="1" x14ac:dyDescent="0.3">
      <c r="A24" s="3" t="s">
        <v>51</v>
      </c>
      <c r="B24">
        <v>6741</v>
      </c>
      <c r="C24">
        <v>6689</v>
      </c>
      <c r="D24">
        <v>7252</v>
      </c>
      <c r="E24">
        <v>7796</v>
      </c>
      <c r="F24">
        <v>7620</v>
      </c>
      <c r="G24">
        <v>7906</v>
      </c>
      <c r="H24">
        <v>8164</v>
      </c>
      <c r="I24">
        <v>8785</v>
      </c>
      <c r="J24">
        <v>10780</v>
      </c>
      <c r="K24">
        <v>10693</v>
      </c>
    </row>
    <row r="25" spans="1:11" s="5" customFormat="1" x14ac:dyDescent="0.3">
      <c r="A25" s="3" t="s">
        <v>52</v>
      </c>
      <c r="B25">
        <v>1313</v>
      </c>
      <c r="C25">
        <v>1470</v>
      </c>
      <c r="D25">
        <v>1480</v>
      </c>
      <c r="E25">
        <v>1553</v>
      </c>
      <c r="F25">
        <v>1688</v>
      </c>
      <c r="G25">
        <v>2195</v>
      </c>
      <c r="H25">
        <v>2359</v>
      </c>
      <c r="I25">
        <v>2267</v>
      </c>
      <c r="J25">
        <v>2806</v>
      </c>
      <c r="K25">
        <v>3056</v>
      </c>
    </row>
    <row r="26" spans="1:11" s="5" customFormat="1" x14ac:dyDescent="0.3">
      <c r="A26" s="5" t="s">
        <v>4</v>
      </c>
      <c r="B26">
        <v>486</v>
      </c>
      <c r="C26">
        <v>606</v>
      </c>
      <c r="D26">
        <v>353</v>
      </c>
      <c r="E26">
        <v>322</v>
      </c>
      <c r="F26">
        <v>424</v>
      </c>
      <c r="G26">
        <v>170</v>
      </c>
      <c r="H26">
        <v>219</v>
      </c>
      <c r="I26">
        <v>448</v>
      </c>
      <c r="J26">
        <v>817</v>
      </c>
      <c r="K26">
        <v>1322</v>
      </c>
    </row>
    <row r="27" spans="1:11" s="5" customFormat="1" x14ac:dyDescent="0.3">
      <c r="A27" s="5" t="s">
        <v>5</v>
      </c>
      <c r="B27">
        <v>353</v>
      </c>
      <c r="C27">
        <v>432</v>
      </c>
      <c r="D27">
        <v>520</v>
      </c>
      <c r="E27">
        <v>565</v>
      </c>
      <c r="F27">
        <v>1002</v>
      </c>
      <c r="G27">
        <v>1074</v>
      </c>
      <c r="H27">
        <v>1091</v>
      </c>
      <c r="I27">
        <v>1137</v>
      </c>
      <c r="J27">
        <v>1216</v>
      </c>
      <c r="K27">
        <v>1355</v>
      </c>
    </row>
    <row r="28" spans="1:11" s="5" customFormat="1" x14ac:dyDescent="0.3">
      <c r="A28" s="5" t="s">
        <v>6</v>
      </c>
      <c r="B28">
        <v>17</v>
      </c>
      <c r="C28">
        <v>35</v>
      </c>
      <c r="D28">
        <v>26</v>
      </c>
      <c r="E28">
        <v>33</v>
      </c>
      <c r="F28">
        <v>118</v>
      </c>
      <c r="G28">
        <v>117</v>
      </c>
      <c r="H28">
        <v>106</v>
      </c>
      <c r="I28">
        <v>114</v>
      </c>
      <c r="J28">
        <v>334</v>
      </c>
      <c r="K28">
        <v>395</v>
      </c>
    </row>
    <row r="29" spans="1:11" s="5" customFormat="1" x14ac:dyDescent="0.3">
      <c r="A29" s="5" t="s">
        <v>7</v>
      </c>
      <c r="B29">
        <v>6026</v>
      </c>
      <c r="C29">
        <v>6467</v>
      </c>
      <c r="D29">
        <v>7306</v>
      </c>
      <c r="E29">
        <v>8604</v>
      </c>
      <c r="F29">
        <v>9165</v>
      </c>
      <c r="G29">
        <v>10605</v>
      </c>
      <c r="H29">
        <v>11879</v>
      </c>
      <c r="I29">
        <v>13344</v>
      </c>
      <c r="J29">
        <v>13926</v>
      </c>
      <c r="K29">
        <v>14415</v>
      </c>
    </row>
    <row r="30" spans="1:11" s="5" customFormat="1" x14ac:dyDescent="0.3">
      <c r="A30" s="5" t="s">
        <v>8</v>
      </c>
      <c r="B30">
        <v>1875</v>
      </c>
      <c r="C30">
        <v>1977</v>
      </c>
      <c r="D30">
        <v>2079</v>
      </c>
      <c r="E30">
        <v>2544</v>
      </c>
      <c r="F30">
        <v>2409</v>
      </c>
      <c r="G30">
        <v>2606</v>
      </c>
      <c r="H30">
        <v>2987</v>
      </c>
      <c r="I30">
        <v>3201</v>
      </c>
      <c r="J30">
        <v>3644</v>
      </c>
      <c r="K30">
        <v>3744</v>
      </c>
    </row>
    <row r="31" spans="1:11" s="5" customFormat="1" x14ac:dyDescent="0.3">
      <c r="A31" s="5" t="s">
        <v>9</v>
      </c>
      <c r="B31">
        <v>4151</v>
      </c>
      <c r="C31">
        <v>4476</v>
      </c>
      <c r="D31">
        <v>5214</v>
      </c>
      <c r="E31">
        <v>6054</v>
      </c>
      <c r="F31">
        <v>6748</v>
      </c>
      <c r="G31">
        <v>7995</v>
      </c>
      <c r="H31">
        <v>8879</v>
      </c>
      <c r="I31">
        <v>10120</v>
      </c>
      <c r="J31">
        <v>10277</v>
      </c>
      <c r="K31">
        <v>10649</v>
      </c>
    </row>
    <row r="32" spans="1:11" s="5" customFormat="1" x14ac:dyDescent="0.3">
      <c r="A32" s="5" t="s">
        <v>36</v>
      </c>
      <c r="B32">
        <v>3456</v>
      </c>
      <c r="C32">
        <v>3672</v>
      </c>
      <c r="D32">
        <v>4320</v>
      </c>
      <c r="E32">
        <v>4752</v>
      </c>
      <c r="F32">
        <v>5400</v>
      </c>
      <c r="G32">
        <v>9517.5</v>
      </c>
      <c r="H32">
        <v>7990</v>
      </c>
      <c r="I32">
        <v>9165</v>
      </c>
      <c r="J32">
        <v>9870</v>
      </c>
      <c r="K32">
        <v>12455</v>
      </c>
    </row>
    <row r="33" spans="1:11" s="5" customFormat="1" x14ac:dyDescent="0.3">
      <c r="A33" s="5" t="s">
        <v>65</v>
      </c>
      <c r="B33" s="5">
        <f>B29+B27+B28</f>
        <v>6396</v>
      </c>
      <c r="C33" s="5">
        <f t="shared" ref="C33:K33" si="0">C29+C27+C28</f>
        <v>6934</v>
      </c>
      <c r="D33" s="5">
        <f t="shared" si="0"/>
        <v>7852</v>
      </c>
      <c r="E33" s="5">
        <f t="shared" si="0"/>
        <v>9202</v>
      </c>
      <c r="F33" s="5">
        <f t="shared" si="0"/>
        <v>10285</v>
      </c>
      <c r="G33" s="5">
        <f t="shared" si="0"/>
        <v>11796</v>
      </c>
      <c r="H33" s="5">
        <f t="shared" si="0"/>
        <v>13076</v>
      </c>
      <c r="I33" s="5">
        <f t="shared" si="0"/>
        <v>14595</v>
      </c>
      <c r="J33" s="5">
        <f t="shared" si="0"/>
        <v>15476</v>
      </c>
      <c r="K33" s="5">
        <f t="shared" si="0"/>
        <v>16165</v>
      </c>
    </row>
    <row r="34" spans="1:11" x14ac:dyDescent="0.3">
      <c r="A34" s="5" t="s">
        <v>67</v>
      </c>
      <c r="B34" s="3">
        <f>B29+B28</f>
        <v>6043</v>
      </c>
      <c r="C34" s="3">
        <f t="shared" ref="C34:K34" si="1">C29+C28</f>
        <v>6502</v>
      </c>
      <c r="D34" s="3">
        <f t="shared" si="1"/>
        <v>7332</v>
      </c>
      <c r="E34" s="3">
        <f t="shared" si="1"/>
        <v>8637</v>
      </c>
      <c r="F34" s="3">
        <f t="shared" si="1"/>
        <v>9283</v>
      </c>
      <c r="G34" s="3">
        <f t="shared" si="1"/>
        <v>10722</v>
      </c>
      <c r="H34" s="3">
        <f t="shared" si="1"/>
        <v>11985</v>
      </c>
      <c r="I34" s="3">
        <f t="shared" si="1"/>
        <v>13458</v>
      </c>
      <c r="J34" s="3">
        <f t="shared" si="1"/>
        <v>14260</v>
      </c>
      <c r="K34" s="3">
        <f t="shared" si="1"/>
        <v>14810</v>
      </c>
    </row>
    <row r="35" spans="1:11" x14ac:dyDescent="0.3">
      <c r="A35" s="5"/>
    </row>
    <row r="36" spans="1:11" x14ac:dyDescent="0.3">
      <c r="A36" s="5"/>
    </row>
    <row r="37" spans="1:11" x14ac:dyDescent="0.3">
      <c r="A37" s="5"/>
    </row>
    <row r="38" spans="1:11" x14ac:dyDescent="0.3">
      <c r="A38" s="5"/>
    </row>
    <row r="39" spans="1:11" x14ac:dyDescent="0.3">
      <c r="A39" s="5"/>
    </row>
    <row r="40" spans="1:11" x14ac:dyDescent="0.3">
      <c r="A40" s="5"/>
    </row>
    <row r="41" spans="1:11" x14ac:dyDescent="0.3">
      <c r="A41" s="1" t="s">
        <v>25</v>
      </c>
    </row>
    <row r="42" spans="1:11" s="8" customFormat="1" x14ac:dyDescent="0.3">
      <c r="A42" s="7" t="s">
        <v>24</v>
      </c>
      <c r="B42" s="6">
        <v>45199</v>
      </c>
      <c r="C42" s="6">
        <v>45291</v>
      </c>
      <c r="D42" s="6">
        <v>45382</v>
      </c>
      <c r="E42" s="6">
        <v>45473</v>
      </c>
      <c r="F42" s="6">
        <v>45565</v>
      </c>
      <c r="G42" s="6">
        <v>45657</v>
      </c>
      <c r="H42" s="6">
        <v>45747</v>
      </c>
      <c r="I42" s="6">
        <v>45838</v>
      </c>
      <c r="J42" s="6">
        <v>45930</v>
      </c>
      <c r="K42" s="6">
        <v>46022</v>
      </c>
    </row>
    <row r="43" spans="1:11" s="5" customFormat="1" x14ac:dyDescent="0.3">
      <c r="A43" s="5" t="s">
        <v>1</v>
      </c>
      <c r="B43">
        <v>15623</v>
      </c>
      <c r="C43">
        <v>15567</v>
      </c>
      <c r="D43">
        <v>15210</v>
      </c>
      <c r="E43">
        <v>15707</v>
      </c>
      <c r="F43">
        <v>15926</v>
      </c>
      <c r="G43">
        <v>15556</v>
      </c>
      <c r="H43">
        <v>15670</v>
      </c>
      <c r="I43">
        <v>16514</v>
      </c>
      <c r="J43">
        <v>15919</v>
      </c>
      <c r="K43">
        <v>16441</v>
      </c>
    </row>
    <row r="44" spans="1:11" s="5" customFormat="1" x14ac:dyDescent="0.3">
      <c r="A44" s="5" t="s">
        <v>2</v>
      </c>
      <c r="B44">
        <v>11828</v>
      </c>
      <c r="C44">
        <v>11902</v>
      </c>
      <c r="D44">
        <v>11675</v>
      </c>
      <c r="E44">
        <v>11965</v>
      </c>
      <c r="F44">
        <v>12139</v>
      </c>
      <c r="G44">
        <v>11867</v>
      </c>
      <c r="H44">
        <v>12052</v>
      </c>
      <c r="I44">
        <v>12797</v>
      </c>
      <c r="J44">
        <v>12137</v>
      </c>
      <c r="K44">
        <v>12660</v>
      </c>
    </row>
    <row r="45" spans="1:11" s="5" customFormat="1" x14ac:dyDescent="0.3">
      <c r="A45" s="5" t="s">
        <v>4</v>
      </c>
      <c r="B45">
        <v>178</v>
      </c>
      <c r="C45">
        <v>184</v>
      </c>
      <c r="D45">
        <v>309</v>
      </c>
      <c r="E45">
        <v>209</v>
      </c>
      <c r="F45">
        <v>203</v>
      </c>
      <c r="G45">
        <v>733</v>
      </c>
      <c r="H45">
        <v>171</v>
      </c>
      <c r="I45">
        <v>74</v>
      </c>
      <c r="J45">
        <v>269</v>
      </c>
      <c r="K45">
        <v>4048</v>
      </c>
    </row>
    <row r="46" spans="1:11" s="5" customFormat="1" x14ac:dyDescent="0.3">
      <c r="A46" s="5" t="s">
        <v>5</v>
      </c>
      <c r="B46">
        <v>297</v>
      </c>
      <c r="C46">
        <v>313</v>
      </c>
      <c r="D46">
        <v>320</v>
      </c>
      <c r="E46">
        <v>329</v>
      </c>
      <c r="F46">
        <v>338</v>
      </c>
      <c r="G46">
        <v>318</v>
      </c>
      <c r="H46">
        <v>347</v>
      </c>
      <c r="I46">
        <v>361</v>
      </c>
      <c r="J46">
        <v>322</v>
      </c>
      <c r="K46">
        <v>337</v>
      </c>
    </row>
    <row r="47" spans="1:11" s="5" customFormat="1" x14ac:dyDescent="0.3">
      <c r="A47" s="5" t="s">
        <v>6</v>
      </c>
      <c r="B47">
        <v>88</v>
      </c>
      <c r="C47">
        <v>91</v>
      </c>
      <c r="D47">
        <v>105</v>
      </c>
      <c r="E47">
        <v>93</v>
      </c>
      <c r="F47">
        <v>110</v>
      </c>
      <c r="G47">
        <v>109</v>
      </c>
      <c r="H47">
        <v>80</v>
      </c>
      <c r="I47">
        <v>127</v>
      </c>
      <c r="J47">
        <v>124</v>
      </c>
      <c r="K47">
        <v>88</v>
      </c>
    </row>
    <row r="48" spans="1:11" s="5" customFormat="1" x14ac:dyDescent="0.3">
      <c r="A48" s="5" t="s">
        <v>7</v>
      </c>
      <c r="B48">
        <v>3588</v>
      </c>
      <c r="C48">
        <v>3445</v>
      </c>
      <c r="D48">
        <v>3419</v>
      </c>
      <c r="E48">
        <v>3529</v>
      </c>
      <c r="F48">
        <v>3542</v>
      </c>
      <c r="G48">
        <v>3995</v>
      </c>
      <c r="H48">
        <v>3362</v>
      </c>
      <c r="I48">
        <v>3303</v>
      </c>
      <c r="J48">
        <v>3605</v>
      </c>
      <c r="K48">
        <v>7404</v>
      </c>
    </row>
    <row r="49" spans="1:12" s="5" customFormat="1" x14ac:dyDescent="0.3">
      <c r="A49" s="5" t="s">
        <v>8</v>
      </c>
      <c r="B49">
        <v>931</v>
      </c>
      <c r="C49">
        <v>937</v>
      </c>
      <c r="D49">
        <v>858</v>
      </c>
      <c r="E49">
        <v>917</v>
      </c>
      <c r="F49">
        <v>947</v>
      </c>
      <c r="G49">
        <v>1006</v>
      </c>
      <c r="H49">
        <v>887</v>
      </c>
      <c r="I49">
        <v>535</v>
      </c>
      <c r="J49">
        <v>911</v>
      </c>
      <c r="K49">
        <v>801</v>
      </c>
    </row>
    <row r="50" spans="1:12" s="5" customFormat="1" x14ac:dyDescent="0.3">
      <c r="A50" s="5" t="s">
        <v>9</v>
      </c>
      <c r="B50">
        <v>2656</v>
      </c>
      <c r="C50">
        <v>2509</v>
      </c>
      <c r="D50">
        <v>2558</v>
      </c>
      <c r="E50">
        <v>2610</v>
      </c>
      <c r="F50">
        <v>2591</v>
      </c>
      <c r="G50">
        <v>2984</v>
      </c>
      <c r="H50">
        <v>2464</v>
      </c>
      <c r="I50">
        <v>2756</v>
      </c>
      <c r="J50">
        <v>2685</v>
      </c>
      <c r="K50">
        <v>6607</v>
      </c>
    </row>
    <row r="51" spans="1:12" x14ac:dyDescent="0.3">
      <c r="A51" s="5" t="s">
        <v>3</v>
      </c>
      <c r="B51">
        <v>3795</v>
      </c>
      <c r="C51">
        <v>3665</v>
      </c>
      <c r="D51">
        <v>3535</v>
      </c>
      <c r="E51">
        <v>3742</v>
      </c>
      <c r="F51">
        <v>3787</v>
      </c>
      <c r="G51">
        <v>3689</v>
      </c>
      <c r="H51">
        <v>3618</v>
      </c>
      <c r="I51">
        <v>3717</v>
      </c>
      <c r="J51">
        <v>3782</v>
      </c>
      <c r="K51">
        <v>3781</v>
      </c>
    </row>
    <row r="52" spans="1:12" x14ac:dyDescent="0.3">
      <c r="A52" s="5"/>
    </row>
    <row r="53" spans="1:12" x14ac:dyDescent="0.3">
      <c r="A53" s="5"/>
    </row>
    <row r="54" spans="1:12" x14ac:dyDescent="0.3">
      <c r="A54" s="5"/>
    </row>
    <row r="55" spans="1:12" x14ac:dyDescent="0.3">
      <c r="A55" s="5"/>
    </row>
    <row r="56" spans="1:12" x14ac:dyDescent="0.3">
      <c r="A56" s="1" t="s">
        <v>26</v>
      </c>
    </row>
    <row r="57" spans="1:12" s="8" customFormat="1" x14ac:dyDescent="0.3">
      <c r="A57" s="7" t="s">
        <v>24</v>
      </c>
      <c r="B57" s="6">
        <v>42460</v>
      </c>
      <c r="C57" s="6">
        <v>42825</v>
      </c>
      <c r="D57" s="6">
        <v>43190</v>
      </c>
      <c r="E57" s="6">
        <v>43555</v>
      </c>
      <c r="F57" s="6">
        <v>43921</v>
      </c>
      <c r="G57" s="6">
        <v>44286</v>
      </c>
      <c r="H57" s="6">
        <v>44651</v>
      </c>
      <c r="I57" s="6">
        <v>45016</v>
      </c>
      <c r="J57" s="6">
        <v>45382</v>
      </c>
      <c r="K57" s="6">
        <v>45747</v>
      </c>
    </row>
    <row r="58" spans="1:12" x14ac:dyDescent="0.3">
      <c r="A58" s="5" t="s">
        <v>11</v>
      </c>
      <c r="B58">
        <v>216</v>
      </c>
      <c r="C58">
        <v>216</v>
      </c>
      <c r="D58">
        <v>216</v>
      </c>
      <c r="E58">
        <v>216</v>
      </c>
      <c r="F58">
        <v>216</v>
      </c>
      <c r="G58">
        <v>235</v>
      </c>
      <c r="H58">
        <v>235</v>
      </c>
      <c r="I58">
        <v>235</v>
      </c>
      <c r="J58">
        <v>235</v>
      </c>
      <c r="K58">
        <v>235</v>
      </c>
    </row>
    <row r="59" spans="1:12" x14ac:dyDescent="0.3">
      <c r="A59" s="5" t="s">
        <v>12</v>
      </c>
      <c r="B59">
        <v>6357</v>
      </c>
      <c r="C59">
        <v>6528</v>
      </c>
      <c r="D59">
        <v>7065</v>
      </c>
      <c r="E59">
        <v>7651</v>
      </c>
      <c r="F59">
        <v>8013</v>
      </c>
      <c r="G59">
        <v>47439</v>
      </c>
      <c r="H59">
        <v>48826</v>
      </c>
      <c r="I59">
        <v>50069</v>
      </c>
      <c r="J59">
        <v>50983</v>
      </c>
      <c r="K59">
        <v>49167</v>
      </c>
    </row>
    <row r="60" spans="1:12" x14ac:dyDescent="0.3">
      <c r="A60" s="5" t="s">
        <v>37</v>
      </c>
      <c r="B60">
        <v>177</v>
      </c>
      <c r="C60">
        <v>277</v>
      </c>
      <c r="E60">
        <v>99</v>
      </c>
      <c r="H60">
        <v>1043</v>
      </c>
      <c r="I60">
        <v>1219</v>
      </c>
      <c r="J60">
        <v>1484</v>
      </c>
      <c r="K60">
        <v>1648</v>
      </c>
    </row>
    <row r="61" spans="1:12" x14ac:dyDescent="0.3">
      <c r="A61" s="5" t="s">
        <v>38</v>
      </c>
      <c r="B61">
        <v>8043</v>
      </c>
      <c r="C61">
        <v>8685</v>
      </c>
      <c r="D61">
        <v>10581</v>
      </c>
      <c r="E61">
        <v>10663</v>
      </c>
      <c r="F61">
        <v>11924</v>
      </c>
      <c r="G61">
        <v>21066</v>
      </c>
      <c r="H61">
        <v>20402</v>
      </c>
      <c r="I61">
        <v>21554</v>
      </c>
      <c r="J61">
        <v>25787</v>
      </c>
      <c r="K61">
        <v>28813</v>
      </c>
    </row>
    <row r="62" spans="1:12" x14ac:dyDescent="0.3">
      <c r="L62" s="53"/>
    </row>
    <row r="63" spans="1:12" s="1" customFormat="1" x14ac:dyDescent="0.3">
      <c r="A63" s="1" t="s">
        <v>13</v>
      </c>
      <c r="B63">
        <v>14793</v>
      </c>
      <c r="C63">
        <v>15706</v>
      </c>
      <c r="D63">
        <v>17862</v>
      </c>
      <c r="E63">
        <v>18629</v>
      </c>
      <c r="F63">
        <v>20153</v>
      </c>
      <c r="G63">
        <v>68740</v>
      </c>
      <c r="H63">
        <v>70506</v>
      </c>
      <c r="I63">
        <v>73077</v>
      </c>
      <c r="J63">
        <v>78489</v>
      </c>
      <c r="K63">
        <v>79863</v>
      </c>
    </row>
    <row r="64" spans="1:12" x14ac:dyDescent="0.3">
      <c r="A64" s="5" t="s">
        <v>14</v>
      </c>
      <c r="B64">
        <v>3258</v>
      </c>
      <c r="C64">
        <v>4419</v>
      </c>
      <c r="D64">
        <v>4528</v>
      </c>
      <c r="E64">
        <v>4715</v>
      </c>
      <c r="F64">
        <v>5479</v>
      </c>
      <c r="G64">
        <v>51443</v>
      </c>
      <c r="H64">
        <v>51473</v>
      </c>
      <c r="I64">
        <v>52678</v>
      </c>
      <c r="J64">
        <v>53744</v>
      </c>
      <c r="K64">
        <v>54335</v>
      </c>
    </row>
    <row r="65" spans="1:11" x14ac:dyDescent="0.3">
      <c r="A65" s="5" t="s">
        <v>15</v>
      </c>
      <c r="B65">
        <v>408</v>
      </c>
      <c r="C65">
        <v>229</v>
      </c>
      <c r="D65">
        <v>461</v>
      </c>
      <c r="E65">
        <v>406</v>
      </c>
      <c r="F65">
        <v>597</v>
      </c>
      <c r="G65">
        <v>745</v>
      </c>
      <c r="H65">
        <v>1313</v>
      </c>
      <c r="I65">
        <v>1132</v>
      </c>
      <c r="J65">
        <v>1025</v>
      </c>
      <c r="K65">
        <v>1009</v>
      </c>
    </row>
    <row r="66" spans="1:11" x14ac:dyDescent="0.3">
      <c r="A66" s="5" t="s">
        <v>16</v>
      </c>
      <c r="B66">
        <v>2592</v>
      </c>
      <c r="C66">
        <v>3794</v>
      </c>
      <c r="D66">
        <v>2873</v>
      </c>
      <c r="E66">
        <v>2716</v>
      </c>
      <c r="F66">
        <v>1255</v>
      </c>
      <c r="G66">
        <v>2709</v>
      </c>
      <c r="H66">
        <v>3521</v>
      </c>
      <c r="I66">
        <v>2882</v>
      </c>
      <c r="J66">
        <v>4625</v>
      </c>
      <c r="K66">
        <v>3810</v>
      </c>
    </row>
    <row r="67" spans="1:11" x14ac:dyDescent="0.3">
      <c r="A67" s="5" t="s">
        <v>39</v>
      </c>
      <c r="B67">
        <v>8535</v>
      </c>
      <c r="C67">
        <v>7264</v>
      </c>
      <c r="D67">
        <v>10000</v>
      </c>
      <c r="E67">
        <v>10792</v>
      </c>
      <c r="F67">
        <v>12822</v>
      </c>
      <c r="G67">
        <v>13843</v>
      </c>
      <c r="H67">
        <v>14199</v>
      </c>
      <c r="I67">
        <v>16385</v>
      </c>
      <c r="J67">
        <v>19095</v>
      </c>
      <c r="K67">
        <v>20709</v>
      </c>
    </row>
    <row r="68" spans="1:11" s="1" customFormat="1" x14ac:dyDescent="0.3">
      <c r="A68" s="1" t="s">
        <v>13</v>
      </c>
      <c r="B68">
        <v>14793</v>
      </c>
      <c r="C68">
        <v>15706</v>
      </c>
      <c r="D68">
        <v>17862</v>
      </c>
      <c r="E68">
        <v>18629</v>
      </c>
      <c r="F68">
        <v>20153</v>
      </c>
      <c r="G68">
        <v>68740</v>
      </c>
      <c r="H68">
        <v>70506</v>
      </c>
      <c r="I68">
        <v>73077</v>
      </c>
      <c r="J68">
        <v>78489</v>
      </c>
      <c r="K68">
        <v>79863</v>
      </c>
    </row>
    <row r="69" spans="1:11" s="5" customFormat="1" x14ac:dyDescent="0.3">
      <c r="A69" s="5" t="s">
        <v>44</v>
      </c>
      <c r="B69">
        <v>1264</v>
      </c>
      <c r="C69">
        <v>1085</v>
      </c>
      <c r="D69">
        <v>1310</v>
      </c>
      <c r="E69">
        <v>1816</v>
      </c>
      <c r="F69">
        <v>1149</v>
      </c>
      <c r="G69">
        <v>1758</v>
      </c>
      <c r="H69">
        <v>2236</v>
      </c>
      <c r="I69">
        <v>3079</v>
      </c>
      <c r="J69">
        <v>2997</v>
      </c>
      <c r="K69">
        <v>3819</v>
      </c>
    </row>
    <row r="70" spans="1:11" x14ac:dyDescent="0.3">
      <c r="A70" s="5" t="s">
        <v>30</v>
      </c>
      <c r="B70">
        <v>2726</v>
      </c>
      <c r="C70">
        <v>2541</v>
      </c>
      <c r="D70">
        <v>2513</v>
      </c>
      <c r="E70">
        <v>2574</v>
      </c>
      <c r="F70">
        <v>2767</v>
      </c>
      <c r="G70">
        <v>3579</v>
      </c>
      <c r="H70">
        <v>4096</v>
      </c>
      <c r="I70">
        <v>4251</v>
      </c>
      <c r="J70">
        <v>4022</v>
      </c>
      <c r="K70">
        <v>4415</v>
      </c>
    </row>
    <row r="71" spans="1:11" x14ac:dyDescent="0.3">
      <c r="A71" s="3" t="s">
        <v>53</v>
      </c>
      <c r="B71">
        <v>3009</v>
      </c>
      <c r="C71">
        <v>1828</v>
      </c>
      <c r="D71">
        <v>3485</v>
      </c>
      <c r="E71">
        <v>3757</v>
      </c>
      <c r="F71">
        <v>5113</v>
      </c>
      <c r="G71">
        <v>4471</v>
      </c>
      <c r="H71">
        <v>3846</v>
      </c>
      <c r="I71">
        <v>4678</v>
      </c>
      <c r="J71">
        <v>7559</v>
      </c>
      <c r="K71">
        <v>7554</v>
      </c>
    </row>
    <row r="72" spans="1:11" x14ac:dyDescent="0.3">
      <c r="A72" s="3" t="s">
        <v>40</v>
      </c>
      <c r="B72">
        <v>2163936971</v>
      </c>
      <c r="C72">
        <v>2164349639</v>
      </c>
      <c r="D72">
        <v>2164528777</v>
      </c>
      <c r="E72">
        <v>2164704405</v>
      </c>
      <c r="F72">
        <v>2164704405</v>
      </c>
      <c r="G72">
        <v>2349567819</v>
      </c>
      <c r="H72">
        <v>2349591262</v>
      </c>
      <c r="I72">
        <v>2349591262</v>
      </c>
      <c r="J72">
        <v>2349591262</v>
      </c>
      <c r="K72">
        <v>2349591262</v>
      </c>
    </row>
    <row r="73" spans="1:11" x14ac:dyDescent="0.3">
      <c r="A73" s="3" t="s">
        <v>41</v>
      </c>
    </row>
    <row r="74" spans="1:11" x14ac:dyDescent="0.3">
      <c r="A74" s="3" t="s">
        <v>54</v>
      </c>
      <c r="B74">
        <v>1</v>
      </c>
      <c r="C74">
        <v>1</v>
      </c>
      <c r="D74">
        <v>1</v>
      </c>
      <c r="E74">
        <v>1</v>
      </c>
      <c r="F74">
        <v>1</v>
      </c>
      <c r="G74">
        <v>1</v>
      </c>
      <c r="H74">
        <v>1</v>
      </c>
      <c r="I74">
        <v>1</v>
      </c>
      <c r="J74">
        <v>1</v>
      </c>
      <c r="K74">
        <v>1</v>
      </c>
    </row>
    <row r="75" spans="1:11" x14ac:dyDescent="0.3">
      <c r="B75"/>
      <c r="C75"/>
      <c r="D75"/>
      <c r="E75"/>
      <c r="F75"/>
      <c r="G75"/>
      <c r="H75"/>
      <c r="I75"/>
      <c r="J75"/>
      <c r="K75"/>
    </row>
    <row r="76" spans="1:11" x14ac:dyDescent="0.3">
      <c r="A76" s="3" t="s">
        <v>39</v>
      </c>
      <c r="B76">
        <f>B67-SUM(B69:B71)</f>
        <v>1536</v>
      </c>
      <c r="C76">
        <f t="shared" ref="C76:K76" si="2">C67-SUM(C69:C71)</f>
        <v>1810</v>
      </c>
      <c r="D76">
        <f t="shared" si="2"/>
        <v>2692</v>
      </c>
      <c r="E76">
        <f t="shared" si="2"/>
        <v>2645</v>
      </c>
      <c r="F76">
        <f t="shared" si="2"/>
        <v>3793</v>
      </c>
      <c r="G76">
        <f t="shared" si="2"/>
        <v>4035</v>
      </c>
      <c r="H76">
        <f t="shared" si="2"/>
        <v>4021</v>
      </c>
      <c r="I76">
        <f t="shared" si="2"/>
        <v>4377</v>
      </c>
      <c r="J76">
        <f t="shared" si="2"/>
        <v>4517</v>
      </c>
      <c r="K76">
        <f t="shared" si="2"/>
        <v>4921</v>
      </c>
    </row>
    <row r="77" spans="1:11" x14ac:dyDescent="0.3">
      <c r="A77" s="1" t="s">
        <v>139</v>
      </c>
    </row>
    <row r="78" spans="1:11" x14ac:dyDescent="0.3">
      <c r="A78" t="s">
        <v>137</v>
      </c>
      <c r="B78">
        <v>5685</v>
      </c>
      <c r="C78">
        <v>6186</v>
      </c>
      <c r="D78">
        <v>7170</v>
      </c>
      <c r="E78">
        <v>7206</v>
      </c>
      <c r="F78">
        <v>7535</v>
      </c>
      <c r="G78">
        <v>8802</v>
      </c>
      <c r="H78">
        <v>9068</v>
      </c>
      <c r="I78">
        <v>9574</v>
      </c>
      <c r="J78">
        <v>10486</v>
      </c>
      <c r="K78">
        <v>11315</v>
      </c>
    </row>
    <row r="79" spans="1:11" x14ac:dyDescent="0.3">
      <c r="A79" s="5" t="s">
        <v>141</v>
      </c>
      <c r="H79">
        <v>112800000</v>
      </c>
      <c r="I79">
        <v>120280000</v>
      </c>
      <c r="J79">
        <v>128790000</v>
      </c>
      <c r="K79">
        <v>165370000</v>
      </c>
    </row>
    <row r="80" spans="1:11" x14ac:dyDescent="0.3">
      <c r="A80" s="5" t="s">
        <v>140</v>
      </c>
      <c r="H80" s="3">
        <f>H79/10000</f>
        <v>11280</v>
      </c>
      <c r="I80" s="3">
        <f t="shared" ref="I80:K80" si="3">I79/10000</f>
        <v>12028</v>
      </c>
      <c r="J80" s="3">
        <f t="shared" si="3"/>
        <v>12879</v>
      </c>
      <c r="K80" s="3">
        <f t="shared" si="3"/>
        <v>16537</v>
      </c>
    </row>
    <row r="81" spans="1:11" x14ac:dyDescent="0.3">
      <c r="A81" s="5"/>
    </row>
    <row r="82" spans="1:11" x14ac:dyDescent="0.3">
      <c r="A82" s="5"/>
    </row>
    <row r="83" spans="1:11" x14ac:dyDescent="0.3">
      <c r="A83" s="5"/>
    </row>
    <row r="84" spans="1:11" x14ac:dyDescent="0.3">
      <c r="A84" s="1" t="s">
        <v>27</v>
      </c>
    </row>
    <row r="85" spans="1:11" s="8" customFormat="1" x14ac:dyDescent="0.3">
      <c r="A85" s="7" t="s">
        <v>24</v>
      </c>
      <c r="B85" s="6">
        <v>42460</v>
      </c>
      <c r="C85" s="6">
        <v>42825</v>
      </c>
      <c r="D85" s="6">
        <v>43190</v>
      </c>
      <c r="E85" s="6">
        <v>43555</v>
      </c>
      <c r="F85" s="6">
        <v>43921</v>
      </c>
      <c r="G85" s="6">
        <v>44286</v>
      </c>
      <c r="H85" s="6">
        <v>44651</v>
      </c>
      <c r="I85" s="6">
        <v>45016</v>
      </c>
      <c r="J85" s="6">
        <v>45382</v>
      </c>
      <c r="K85" s="6">
        <v>45747</v>
      </c>
    </row>
    <row r="86" spans="1:11" s="1" customFormat="1" x14ac:dyDescent="0.3">
      <c r="A86" s="1" t="s">
        <v>18</v>
      </c>
      <c r="B86" s="2">
        <v>4171</v>
      </c>
      <c r="C86" s="2">
        <v>5185</v>
      </c>
      <c r="D86" s="2">
        <v>6059</v>
      </c>
      <c r="E86" s="2">
        <v>5800</v>
      </c>
      <c r="F86" s="2">
        <v>7623</v>
      </c>
      <c r="G86" s="2">
        <v>9163</v>
      </c>
      <c r="H86" s="2">
        <v>9048</v>
      </c>
      <c r="I86" s="2">
        <v>9991</v>
      </c>
      <c r="J86" s="2">
        <v>15469</v>
      </c>
      <c r="K86" s="2">
        <v>11886</v>
      </c>
    </row>
    <row r="87" spans="1:11" s="1" customFormat="1" x14ac:dyDescent="0.3">
      <c r="A87" t="s">
        <v>109</v>
      </c>
      <c r="B87">
        <v>6025</v>
      </c>
      <c r="C87">
        <v>6512</v>
      </c>
      <c r="D87">
        <v>7485</v>
      </c>
      <c r="E87">
        <v>8909</v>
      </c>
      <c r="F87">
        <v>9723</v>
      </c>
      <c r="G87">
        <v>11672</v>
      </c>
      <c r="H87">
        <v>12829</v>
      </c>
      <c r="I87">
        <v>14089</v>
      </c>
      <c r="J87">
        <v>14537</v>
      </c>
      <c r="K87">
        <v>14942</v>
      </c>
    </row>
    <row r="88" spans="1:11" s="1" customFormat="1" x14ac:dyDescent="0.3">
      <c r="A88" t="s">
        <v>44</v>
      </c>
      <c r="B88">
        <v>-257</v>
      </c>
      <c r="C88">
        <v>173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</row>
    <row r="89" spans="1:11" s="1" customFormat="1" x14ac:dyDescent="0.3">
      <c r="A89" t="s">
        <v>30</v>
      </c>
      <c r="B89">
        <v>89</v>
      </c>
      <c r="C89">
        <v>37</v>
      </c>
      <c r="D89">
        <v>-146</v>
      </c>
      <c r="E89">
        <v>-195</v>
      </c>
      <c r="F89">
        <v>-331</v>
      </c>
      <c r="G89">
        <v>-543</v>
      </c>
      <c r="H89">
        <v>-758</v>
      </c>
      <c r="I89">
        <v>-339</v>
      </c>
      <c r="J89">
        <v>74</v>
      </c>
      <c r="K89">
        <v>-584</v>
      </c>
    </row>
    <row r="90" spans="1:11" s="1" customFormat="1" x14ac:dyDescent="0.3">
      <c r="A90" t="s">
        <v>110</v>
      </c>
      <c r="B90">
        <v>164</v>
      </c>
      <c r="C90">
        <v>501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</row>
    <row r="91" spans="1:11" s="1" customFormat="1" x14ac:dyDescent="0.3">
      <c r="A91" t="s">
        <v>111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</row>
    <row r="92" spans="1:11" s="1" customFormat="1" x14ac:dyDescent="0.3">
      <c r="A92" t="s">
        <v>112</v>
      </c>
      <c r="B92">
        <v>0</v>
      </c>
      <c r="C92">
        <v>-46</v>
      </c>
      <c r="D92">
        <v>0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</row>
    <row r="93" spans="1:11" s="1" customFormat="1" x14ac:dyDescent="0.3">
      <c r="A93" t="s">
        <v>113</v>
      </c>
      <c r="B93">
        <v>-77</v>
      </c>
      <c r="C93">
        <v>-99</v>
      </c>
      <c r="D93">
        <v>982</v>
      </c>
      <c r="E93">
        <v>-147</v>
      </c>
      <c r="F93">
        <v>742</v>
      </c>
      <c r="G93">
        <v>442</v>
      </c>
      <c r="H93">
        <v>-242</v>
      </c>
      <c r="I93">
        <v>-621</v>
      </c>
      <c r="J93">
        <v>1239</v>
      </c>
      <c r="K93">
        <v>-204</v>
      </c>
    </row>
    <row r="94" spans="1:11" s="1" customFormat="1" x14ac:dyDescent="0.3">
      <c r="A94" t="s">
        <v>114</v>
      </c>
      <c r="B94">
        <v>-81</v>
      </c>
      <c r="C94">
        <v>566</v>
      </c>
      <c r="D94">
        <v>836</v>
      </c>
      <c r="E94">
        <v>-342</v>
      </c>
      <c r="F94">
        <v>411</v>
      </c>
      <c r="G94">
        <v>-101</v>
      </c>
      <c r="H94">
        <v>-1000</v>
      </c>
      <c r="I94">
        <v>-960</v>
      </c>
      <c r="J94">
        <v>1313</v>
      </c>
      <c r="K94">
        <v>-788</v>
      </c>
    </row>
    <row r="95" spans="1:11" s="1" customFormat="1" x14ac:dyDescent="0.3">
      <c r="A95" t="s">
        <v>115</v>
      </c>
      <c r="B95">
        <v>-1765</v>
      </c>
      <c r="C95">
        <v>-1859</v>
      </c>
      <c r="D95">
        <v>-2264</v>
      </c>
      <c r="E95">
        <v>-2767</v>
      </c>
      <c r="F95">
        <v>-2505</v>
      </c>
      <c r="G95">
        <v>-2407</v>
      </c>
      <c r="H95">
        <v>-2784</v>
      </c>
      <c r="I95">
        <v>-3138</v>
      </c>
      <c r="J95">
        <v>-381</v>
      </c>
      <c r="K95">
        <v>-2268</v>
      </c>
    </row>
    <row r="96" spans="1:11" s="1" customFormat="1" x14ac:dyDescent="0.3">
      <c r="A96" t="s">
        <v>116</v>
      </c>
      <c r="B96">
        <v>-8</v>
      </c>
      <c r="C96">
        <v>-21</v>
      </c>
      <c r="D96">
        <v>0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</row>
    <row r="97" spans="1:12" s="1" customFormat="1" x14ac:dyDescent="0.3">
      <c r="A97" t="s">
        <v>117</v>
      </c>
      <c r="B97">
        <v>0</v>
      </c>
      <c r="C97">
        <v>-13</v>
      </c>
      <c r="D97">
        <v>2</v>
      </c>
      <c r="E97">
        <v>0</v>
      </c>
      <c r="F97">
        <v>-6</v>
      </c>
      <c r="G97">
        <v>-1</v>
      </c>
      <c r="H97">
        <v>3</v>
      </c>
      <c r="I97">
        <v>0</v>
      </c>
      <c r="J97">
        <v>0</v>
      </c>
      <c r="K97">
        <v>0</v>
      </c>
      <c r="L97" s="41"/>
    </row>
    <row r="98" spans="1:12" s="1" customFormat="1" x14ac:dyDescent="0.3">
      <c r="A98"/>
      <c r="B98"/>
      <c r="C98"/>
      <c r="D98"/>
      <c r="E98"/>
      <c r="F98"/>
      <c r="G98"/>
      <c r="H98"/>
      <c r="I98"/>
      <c r="J98"/>
      <c r="K98"/>
      <c r="L98" s="41"/>
    </row>
    <row r="99" spans="1:12" s="1" customFormat="1" x14ac:dyDescent="0.3">
      <c r="A99"/>
      <c r="B99"/>
      <c r="C99"/>
      <c r="D99"/>
      <c r="E99"/>
      <c r="F99"/>
      <c r="G99"/>
      <c r="H99"/>
      <c r="I99"/>
      <c r="J99"/>
      <c r="K99"/>
      <c r="L99" s="41"/>
    </row>
    <row r="100" spans="1:12" s="5" customFormat="1" x14ac:dyDescent="0.3">
      <c r="A100" s="2" t="s">
        <v>19</v>
      </c>
      <c r="B100" s="2">
        <v>-282</v>
      </c>
      <c r="C100" s="2">
        <v>-1173</v>
      </c>
      <c r="D100" s="2">
        <v>-1063</v>
      </c>
      <c r="E100" s="2">
        <v>-438</v>
      </c>
      <c r="F100" s="2">
        <v>1791</v>
      </c>
      <c r="G100" s="2">
        <v>-1228</v>
      </c>
      <c r="H100" s="2">
        <v>-1728</v>
      </c>
      <c r="I100" s="2">
        <v>-1484</v>
      </c>
      <c r="J100" s="2">
        <v>-5324</v>
      </c>
      <c r="K100" s="2">
        <v>6473</v>
      </c>
    </row>
    <row r="101" spans="1:12" s="5" customFormat="1" x14ac:dyDescent="0.3">
      <c r="A101" t="s">
        <v>118</v>
      </c>
      <c r="B101">
        <v>-810</v>
      </c>
      <c r="C101">
        <v>-1113</v>
      </c>
      <c r="D101">
        <v>-895</v>
      </c>
      <c r="E101">
        <v>-767</v>
      </c>
      <c r="F101">
        <v>-862</v>
      </c>
      <c r="G101">
        <v>-4163</v>
      </c>
      <c r="H101">
        <v>-1228</v>
      </c>
      <c r="I101">
        <v>-1192</v>
      </c>
      <c r="J101">
        <v>-1477</v>
      </c>
      <c r="K101">
        <v>-1275</v>
      </c>
    </row>
    <row r="102" spans="1:12" s="5" customFormat="1" x14ac:dyDescent="0.3">
      <c r="A102" t="s">
        <v>119</v>
      </c>
      <c r="B102">
        <v>99</v>
      </c>
      <c r="C102">
        <v>176</v>
      </c>
      <c r="D102">
        <v>32</v>
      </c>
      <c r="E102">
        <v>13</v>
      </c>
      <c r="F102">
        <v>52</v>
      </c>
      <c r="G102">
        <v>97</v>
      </c>
      <c r="H102">
        <v>175</v>
      </c>
      <c r="I102">
        <v>181</v>
      </c>
      <c r="J102">
        <v>20</v>
      </c>
      <c r="K102">
        <v>13</v>
      </c>
    </row>
    <row r="103" spans="1:12" s="5" customFormat="1" x14ac:dyDescent="0.3">
      <c r="A103" t="s">
        <v>120</v>
      </c>
      <c r="B103">
        <v>-20666</v>
      </c>
      <c r="C103">
        <v>-31214</v>
      </c>
      <c r="D103">
        <v>-51855</v>
      </c>
      <c r="E103">
        <v>-74365</v>
      </c>
      <c r="F103">
        <v>-36090</v>
      </c>
      <c r="G103">
        <v>-39920</v>
      </c>
      <c r="H103">
        <v>-48522</v>
      </c>
      <c r="I103">
        <v>-22649</v>
      </c>
      <c r="J103">
        <v>-21337</v>
      </c>
      <c r="K103">
        <v>-22957</v>
      </c>
    </row>
    <row r="104" spans="1:12" s="5" customFormat="1" x14ac:dyDescent="0.3">
      <c r="A104" t="s">
        <v>121</v>
      </c>
      <c r="B104">
        <v>20937</v>
      </c>
      <c r="C104">
        <v>30083</v>
      </c>
      <c r="D104">
        <v>52897</v>
      </c>
      <c r="E104">
        <v>74691</v>
      </c>
      <c r="F104">
        <v>37690</v>
      </c>
      <c r="G104">
        <v>38486</v>
      </c>
      <c r="H104">
        <v>47786</v>
      </c>
      <c r="I104">
        <v>23462</v>
      </c>
      <c r="J104">
        <v>19846</v>
      </c>
      <c r="K104">
        <v>23987</v>
      </c>
    </row>
    <row r="105" spans="1:12" s="5" customFormat="1" x14ac:dyDescent="0.3">
      <c r="A105" t="s">
        <v>122</v>
      </c>
      <c r="B105">
        <v>315</v>
      </c>
      <c r="C105">
        <v>264</v>
      </c>
      <c r="D105">
        <v>297</v>
      </c>
      <c r="E105">
        <v>289</v>
      </c>
      <c r="F105">
        <v>351</v>
      </c>
      <c r="G105">
        <v>277</v>
      </c>
      <c r="H105">
        <v>161</v>
      </c>
      <c r="I105">
        <v>259</v>
      </c>
      <c r="J105">
        <v>425</v>
      </c>
      <c r="K105">
        <v>835</v>
      </c>
    </row>
    <row r="106" spans="1:12" s="5" customFormat="1" x14ac:dyDescent="0.3">
      <c r="A106" t="s">
        <v>123</v>
      </c>
      <c r="B106">
        <v>33</v>
      </c>
      <c r="C106">
        <v>14</v>
      </c>
      <c r="D106">
        <v>0</v>
      </c>
      <c r="E106">
        <v>1</v>
      </c>
      <c r="F106">
        <v>1</v>
      </c>
      <c r="G106">
        <v>1</v>
      </c>
      <c r="H106">
        <v>1</v>
      </c>
      <c r="I106">
        <v>2</v>
      </c>
      <c r="J106">
        <v>3</v>
      </c>
      <c r="K106">
        <v>0</v>
      </c>
    </row>
    <row r="107" spans="1:12" s="5" customFormat="1" x14ac:dyDescent="0.3">
      <c r="A107" t="s">
        <v>124</v>
      </c>
      <c r="B107">
        <v>0</v>
      </c>
      <c r="C107">
        <v>0</v>
      </c>
      <c r="D107">
        <v>0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</row>
    <row r="108" spans="1:12" s="5" customFormat="1" ht="13.8" customHeight="1" x14ac:dyDescent="0.3">
      <c r="A108" t="s">
        <v>125</v>
      </c>
      <c r="B108">
        <v>0</v>
      </c>
      <c r="C108">
        <v>0</v>
      </c>
      <c r="D108">
        <v>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</row>
    <row r="109" spans="1:12" s="5" customFormat="1" ht="13.8" customHeight="1" x14ac:dyDescent="0.3">
      <c r="A109" t="s">
        <v>126</v>
      </c>
      <c r="B109">
        <v>161</v>
      </c>
      <c r="C109">
        <v>20</v>
      </c>
      <c r="D109">
        <v>73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</row>
    <row r="110" spans="1:12" s="5" customFormat="1" ht="13.8" customHeight="1" x14ac:dyDescent="0.3">
      <c r="A110" t="s">
        <v>127</v>
      </c>
      <c r="B110">
        <v>0</v>
      </c>
      <c r="C110">
        <v>0</v>
      </c>
      <c r="D110">
        <v>0</v>
      </c>
      <c r="E110">
        <v>0</v>
      </c>
      <c r="F110">
        <v>0</v>
      </c>
      <c r="G110">
        <v>0</v>
      </c>
      <c r="H110">
        <v>0</v>
      </c>
      <c r="I110">
        <v>-334</v>
      </c>
      <c r="J110">
        <v>0</v>
      </c>
      <c r="K110">
        <v>0</v>
      </c>
    </row>
    <row r="111" spans="1:12" s="5" customFormat="1" ht="13.8" customHeight="1" x14ac:dyDescent="0.3">
      <c r="A111" t="s">
        <v>128</v>
      </c>
      <c r="B111">
        <v>-351</v>
      </c>
      <c r="C111">
        <v>597</v>
      </c>
      <c r="D111">
        <v>-1612</v>
      </c>
      <c r="E111">
        <v>-300</v>
      </c>
      <c r="F111">
        <v>649</v>
      </c>
      <c r="G111">
        <v>3994</v>
      </c>
      <c r="H111">
        <v>-101</v>
      </c>
      <c r="I111">
        <v>-1213</v>
      </c>
      <c r="J111">
        <v>-2804</v>
      </c>
      <c r="K111">
        <v>5870</v>
      </c>
    </row>
    <row r="112" spans="1:12" s="5" customFormat="1" ht="13.8" customHeight="1" x14ac:dyDescent="0.3">
      <c r="A112"/>
      <c r="B112"/>
      <c r="C112"/>
      <c r="D112"/>
      <c r="E112"/>
      <c r="F112"/>
      <c r="G112"/>
      <c r="H112"/>
      <c r="I112"/>
      <c r="J112"/>
      <c r="K112"/>
    </row>
    <row r="113" spans="1:12" s="5" customFormat="1" x14ac:dyDescent="0.3">
      <c r="A113" s="1" t="s">
        <v>20</v>
      </c>
      <c r="B113" s="2">
        <v>-3864</v>
      </c>
      <c r="C113" s="2">
        <v>-4214</v>
      </c>
      <c r="D113" s="2">
        <v>-4975</v>
      </c>
      <c r="E113" s="2">
        <v>-5390</v>
      </c>
      <c r="F113" s="2">
        <v>-6819</v>
      </c>
      <c r="G113" s="2">
        <v>-9309</v>
      </c>
      <c r="H113" s="2">
        <v>-8015</v>
      </c>
      <c r="I113" s="2">
        <v>-8953</v>
      </c>
      <c r="J113" s="2">
        <v>-10034</v>
      </c>
      <c r="K113" s="2">
        <v>-13101</v>
      </c>
    </row>
    <row r="114" spans="1:12" s="5" customFormat="1" ht="13.8" customHeight="1" x14ac:dyDescent="0.3">
      <c r="A114" t="s">
        <v>129</v>
      </c>
      <c r="B114">
        <v>0</v>
      </c>
      <c r="C114">
        <v>0</v>
      </c>
      <c r="D114">
        <v>0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</row>
    <row r="115" spans="1:12" s="5" customFormat="1" ht="13.8" customHeight="1" x14ac:dyDescent="0.3">
      <c r="A115" t="s">
        <v>130</v>
      </c>
      <c r="B115">
        <v>177</v>
      </c>
      <c r="C115">
        <v>460</v>
      </c>
      <c r="D115">
        <v>0</v>
      </c>
      <c r="E115">
        <v>99</v>
      </c>
      <c r="F115">
        <v>0</v>
      </c>
      <c r="G115">
        <v>188</v>
      </c>
      <c r="H115">
        <v>55</v>
      </c>
      <c r="I115">
        <v>286</v>
      </c>
      <c r="J115">
        <v>0</v>
      </c>
      <c r="K115">
        <v>0</v>
      </c>
    </row>
    <row r="116" spans="1:12" s="5" customFormat="1" ht="13.8" customHeight="1" x14ac:dyDescent="0.3">
      <c r="A116" t="s">
        <v>131</v>
      </c>
      <c r="B116">
        <v>0</v>
      </c>
      <c r="C116">
        <v>-360</v>
      </c>
      <c r="D116">
        <v>-277</v>
      </c>
      <c r="E116">
        <v>0</v>
      </c>
      <c r="F116">
        <v>-99</v>
      </c>
      <c r="G116">
        <v>-188</v>
      </c>
      <c r="H116">
        <v>-55</v>
      </c>
      <c r="I116">
        <v>-208</v>
      </c>
      <c r="J116">
        <v>-85</v>
      </c>
      <c r="K116">
        <v>0</v>
      </c>
    </row>
    <row r="117" spans="1:12" s="5" customFormat="1" ht="13.8" customHeight="1" x14ac:dyDescent="0.3">
      <c r="A117" t="s">
        <v>132</v>
      </c>
      <c r="B117">
        <v>-2</v>
      </c>
      <c r="C117">
        <v>-14</v>
      </c>
      <c r="D117">
        <v>-6</v>
      </c>
      <c r="E117">
        <v>-7</v>
      </c>
      <c r="F117">
        <v>-90</v>
      </c>
      <c r="G117">
        <v>-92</v>
      </c>
      <c r="H117">
        <v>-82</v>
      </c>
      <c r="I117">
        <v>-88</v>
      </c>
      <c r="J117">
        <v>-110</v>
      </c>
      <c r="K117">
        <v>-130</v>
      </c>
    </row>
    <row r="118" spans="1:12" s="5" customFormat="1" ht="13.8" customHeight="1" x14ac:dyDescent="0.3">
      <c r="A118" t="s">
        <v>133</v>
      </c>
      <c r="B118">
        <v>-3354</v>
      </c>
      <c r="C118">
        <v>-3572</v>
      </c>
      <c r="D118">
        <v>-3911</v>
      </c>
      <c r="E118">
        <v>-4554</v>
      </c>
      <c r="F118">
        <v>-5196</v>
      </c>
      <c r="G118">
        <v>-8811</v>
      </c>
      <c r="H118">
        <v>-7526</v>
      </c>
      <c r="I118">
        <v>-8474</v>
      </c>
      <c r="J118">
        <v>-9416</v>
      </c>
      <c r="K118">
        <v>-12473</v>
      </c>
    </row>
    <row r="119" spans="1:12" s="5" customFormat="1" ht="13.8" customHeight="1" x14ac:dyDescent="0.3">
      <c r="A119" t="s">
        <v>134</v>
      </c>
      <c r="B119">
        <v>0</v>
      </c>
      <c r="C119">
        <v>0</v>
      </c>
      <c r="D119">
        <v>0</v>
      </c>
      <c r="E119">
        <v>0</v>
      </c>
      <c r="F119">
        <v>-373</v>
      </c>
      <c r="G119">
        <v>-406</v>
      </c>
      <c r="H119">
        <v>-407</v>
      </c>
      <c r="I119">
        <v>-467</v>
      </c>
      <c r="J119">
        <v>-423</v>
      </c>
      <c r="K119">
        <v>-498</v>
      </c>
      <c r="L119" s="41"/>
    </row>
    <row r="120" spans="1:12" s="5" customFormat="1" ht="13.8" customHeight="1" x14ac:dyDescent="0.3">
      <c r="A120" t="s">
        <v>135</v>
      </c>
      <c r="B120">
        <v>-685</v>
      </c>
      <c r="C120">
        <v>-728</v>
      </c>
      <c r="D120">
        <v>-781</v>
      </c>
      <c r="E120">
        <v>-928</v>
      </c>
      <c r="F120">
        <v>-1061</v>
      </c>
      <c r="G120">
        <v>0</v>
      </c>
      <c r="H120">
        <v>0</v>
      </c>
      <c r="I120">
        <v>-2</v>
      </c>
      <c r="J120">
        <v>0</v>
      </c>
      <c r="K120">
        <v>0</v>
      </c>
    </row>
    <row r="121" spans="1:12" s="5" customFormat="1" ht="13.8" customHeight="1" x14ac:dyDescent="0.3"/>
    <row r="123" spans="1:12" s="1" customFormat="1" x14ac:dyDescent="0.3">
      <c r="A123" s="5" t="s">
        <v>21</v>
      </c>
      <c r="B123">
        <v>25</v>
      </c>
      <c r="C123">
        <v>-202</v>
      </c>
      <c r="D123">
        <v>21</v>
      </c>
      <c r="E123">
        <v>-28</v>
      </c>
      <c r="F123">
        <v>2595</v>
      </c>
      <c r="G123">
        <v>-1374</v>
      </c>
      <c r="H123">
        <v>-695</v>
      </c>
      <c r="I123">
        <v>-446</v>
      </c>
      <c r="J123">
        <v>111</v>
      </c>
      <c r="K123">
        <v>5258</v>
      </c>
    </row>
    <row r="124" spans="1:12" x14ac:dyDescent="0.3">
      <c r="A124" s="5"/>
    </row>
    <row r="125" spans="1:12" x14ac:dyDescent="0.3">
      <c r="A125" s="5"/>
    </row>
    <row r="126" spans="1:12" x14ac:dyDescent="0.3">
      <c r="A126" s="5"/>
    </row>
    <row r="127" spans="1:12" x14ac:dyDescent="0.3">
      <c r="A127" s="5"/>
    </row>
    <row r="128" spans="1:12" s="1" customFormat="1" x14ac:dyDescent="0.3">
      <c r="A128" s="1" t="s">
        <v>43</v>
      </c>
      <c r="B128">
        <v>832.17</v>
      </c>
      <c r="C128">
        <v>872.61</v>
      </c>
      <c r="D128">
        <v>1276.1099999999999</v>
      </c>
      <c r="E128">
        <v>1633.53</v>
      </c>
      <c r="F128">
        <v>2199.83</v>
      </c>
      <c r="G128">
        <v>2327.12</v>
      </c>
      <c r="H128">
        <v>1960.7</v>
      </c>
      <c r="I128">
        <v>2450.44</v>
      </c>
      <c r="J128">
        <v>2167.14</v>
      </c>
      <c r="K128">
        <v>2161.88</v>
      </c>
    </row>
    <row r="130" spans="1:11" s="1" customFormat="1" x14ac:dyDescent="0.3">
      <c r="A130" s="1" t="s">
        <v>42</v>
      </c>
    </row>
    <row r="131" spans="1:11" x14ac:dyDescent="0.3">
      <c r="A131" s="3" t="s">
        <v>55</v>
      </c>
      <c r="B131" s="10">
        <v>216.39</v>
      </c>
      <c r="C131" s="10">
        <v>216.43</v>
      </c>
      <c r="D131" s="10">
        <v>216.45</v>
      </c>
      <c r="E131" s="10">
        <v>216.47</v>
      </c>
      <c r="F131" s="10">
        <v>216.48</v>
      </c>
      <c r="G131" s="10">
        <v>234.96</v>
      </c>
      <c r="H131" s="10">
        <v>234.96</v>
      </c>
      <c r="I131" s="10">
        <v>234.96</v>
      </c>
      <c r="J131" s="10">
        <v>234.96</v>
      </c>
      <c r="K131" s="10">
        <v>234.96</v>
      </c>
    </row>
  </sheetData>
  <mergeCells count="2">
    <mergeCell ref="E1:K1"/>
    <mergeCell ref="E2:K2"/>
  </mergeCells>
  <conditionalFormatting sqref="E1:K1">
    <cfRule type="cellIs" dxfId="0" priority="1" operator="notEqual">
      <formula>""</formula>
    </cfRule>
  </conditionalFormatting>
  <hyperlinks>
    <hyperlink ref="E1:K1" r:id="rId1" display="https://www.screener.in/excel/" xr:uid="{00000000-0004-0000-0500-000000000000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950FC-FC63-4109-B747-9C9D367DBCCA}">
  <dimension ref="A1:R100"/>
  <sheetViews>
    <sheetView showGridLines="0" zoomScale="91" zoomScaleNormal="91" workbookViewId="0">
      <pane ySplit="3" topLeftCell="A4" activePane="bottomLeft" state="frozen"/>
      <selection pane="bottomLeft" activeCell="B28" sqref="B28"/>
    </sheetView>
  </sheetViews>
  <sheetFormatPr defaultRowHeight="14.4" x14ac:dyDescent="0.3"/>
  <cols>
    <col min="1" max="1" width="2" bestFit="1" customWidth="1"/>
    <col min="2" max="2" width="27.21875" style="9" bestFit="1" customWidth="1"/>
    <col min="3" max="12" width="13.21875" bestFit="1" customWidth="1"/>
    <col min="13" max="17" width="12.21875" bestFit="1" customWidth="1"/>
  </cols>
  <sheetData>
    <row r="1" spans="1:17" x14ac:dyDescent="0.3">
      <c r="A1" s="11"/>
    </row>
    <row r="2" spans="1:17" x14ac:dyDescent="0.3">
      <c r="B2" s="93" t="s">
        <v>56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  <c r="N2" s="93"/>
      <c r="O2" s="93"/>
      <c r="P2" s="93"/>
      <c r="Q2" s="93"/>
    </row>
    <row r="3" spans="1:17" x14ac:dyDescent="0.3">
      <c r="B3" s="19" t="s">
        <v>59</v>
      </c>
      <c r="C3" s="16">
        <f>'Data Sheet'!B17</f>
        <v>42460</v>
      </c>
      <c r="D3" s="16">
        <f>'Data Sheet'!C17</f>
        <v>42825</v>
      </c>
      <c r="E3" s="16">
        <f>'Data Sheet'!D17</f>
        <v>43190</v>
      </c>
      <c r="F3" s="16">
        <f>'Data Sheet'!E17</f>
        <v>43555</v>
      </c>
      <c r="G3" s="16">
        <f>'Data Sheet'!F17</f>
        <v>43921</v>
      </c>
      <c r="H3" s="16">
        <f>'Data Sheet'!G17</f>
        <v>44286</v>
      </c>
      <c r="I3" s="16">
        <f>'Data Sheet'!H17</f>
        <v>44651</v>
      </c>
      <c r="J3" s="16">
        <f>'Data Sheet'!I17</f>
        <v>45016</v>
      </c>
      <c r="K3" s="16">
        <f>'Data Sheet'!J17</f>
        <v>45382</v>
      </c>
      <c r="L3" s="16">
        <f>'Data Sheet'!K17</f>
        <v>45747</v>
      </c>
      <c r="M3" s="44">
        <v>46112</v>
      </c>
      <c r="N3" s="44">
        <v>46477</v>
      </c>
      <c r="O3" s="44">
        <v>46843</v>
      </c>
      <c r="P3" s="44">
        <v>47208</v>
      </c>
      <c r="Q3" s="44">
        <v>47573</v>
      </c>
    </row>
    <row r="4" spans="1:17" x14ac:dyDescent="0.3">
      <c r="B4"/>
    </row>
    <row r="5" spans="1:17" x14ac:dyDescent="0.3">
      <c r="A5" t="s">
        <v>57</v>
      </c>
      <c r="B5" s="20" t="s">
        <v>58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</row>
    <row r="6" spans="1:17" x14ac:dyDescent="0.3">
      <c r="B6" s="9" t="s">
        <v>1</v>
      </c>
      <c r="C6" s="13">
        <f>'Data Sheet'!B18</f>
        <v>32186</v>
      </c>
      <c r="D6" s="13">
        <f>'Data Sheet'!C18</f>
        <v>33162</v>
      </c>
      <c r="E6" s="13">
        <f>'Data Sheet'!D18</f>
        <v>35545</v>
      </c>
      <c r="F6" s="13">
        <f>'Data Sheet'!E18</f>
        <v>39310</v>
      </c>
      <c r="G6" s="13">
        <f>'Data Sheet'!F18</f>
        <v>39783</v>
      </c>
      <c r="H6" s="13">
        <f>'Data Sheet'!G18</f>
        <v>47028</v>
      </c>
      <c r="I6" s="13">
        <f>'Data Sheet'!H18</f>
        <v>52446</v>
      </c>
      <c r="J6" s="13">
        <f>'Data Sheet'!I18</f>
        <v>60580</v>
      </c>
      <c r="K6" s="13">
        <f>'Data Sheet'!J18</f>
        <v>61896</v>
      </c>
      <c r="L6" s="13">
        <f>'Data Sheet'!K18</f>
        <v>63121</v>
      </c>
      <c r="M6" s="46">
        <f>FORECAST($M$3,C6:L6,$C$3:$L$3)</f>
        <v>68216.751150427619</v>
      </c>
      <c r="N6" s="46">
        <f t="shared" ref="N6:Q6" si="0">FORECAST(N3,D6:M6,D3:M3)</f>
        <v>73079.200071225234</v>
      </c>
      <c r="O6" s="46">
        <f t="shared" si="0"/>
        <v>77758.254207356833</v>
      </c>
      <c r="P6" s="46">
        <f t="shared" si="0"/>
        <v>82268.535544621409</v>
      </c>
      <c r="Q6" s="46">
        <f t="shared" si="0"/>
        <v>86775.054316132388</v>
      </c>
    </row>
    <row r="7" spans="1:17" x14ac:dyDescent="0.3">
      <c r="B7" s="21" t="s">
        <v>10</v>
      </c>
      <c r="C7" s="17" t="s">
        <v>74</v>
      </c>
      <c r="D7" s="18">
        <f>D6/C6-1</f>
        <v>3.03237432424035E-2</v>
      </c>
      <c r="E7" s="18">
        <f t="shared" ref="E7:J7" si="1">E6/D6-1</f>
        <v>7.1859357095470644E-2</v>
      </c>
      <c r="F7" s="18">
        <f t="shared" si="1"/>
        <v>0.1059220706147137</v>
      </c>
      <c r="G7" s="18">
        <f t="shared" si="1"/>
        <v>1.2032561689137689E-2</v>
      </c>
      <c r="H7" s="18">
        <f t="shared" si="1"/>
        <v>0.18211296282331646</v>
      </c>
      <c r="I7" s="18">
        <f t="shared" si="1"/>
        <v>0.11520796121459553</v>
      </c>
      <c r="J7" s="18">
        <f t="shared" si="1"/>
        <v>0.15509285741524614</v>
      </c>
      <c r="K7" s="18">
        <f>K6/J6-1</f>
        <v>2.1723341036645749E-2</v>
      </c>
      <c r="L7" s="18">
        <f>L6/K6-1</f>
        <v>1.9791262763344974E-2</v>
      </c>
      <c r="M7" s="45">
        <f t="shared" ref="M7:Q7" si="2">M6/L6-1</f>
        <v>8.0729886256992511E-2</v>
      </c>
      <c r="N7" s="45">
        <f t="shared" si="2"/>
        <v>7.1279397491024188E-2</v>
      </c>
      <c r="O7" s="45">
        <f t="shared" si="2"/>
        <v>6.4027166848723782E-2</v>
      </c>
      <c r="P7" s="45">
        <f t="shared" si="2"/>
        <v>5.8003891461311241E-2</v>
      </c>
      <c r="Q7" s="45">
        <f t="shared" si="2"/>
        <v>5.4778157185825904E-2</v>
      </c>
    </row>
    <row r="8" spans="1:17" x14ac:dyDescent="0.3">
      <c r="C8" s="15"/>
      <c r="D8" s="13"/>
      <c r="E8" s="13"/>
      <c r="F8" s="13"/>
      <c r="G8" s="13"/>
      <c r="H8" s="13"/>
      <c r="I8" s="13"/>
      <c r="J8" s="13"/>
      <c r="K8" s="13"/>
      <c r="L8" s="15"/>
      <c r="M8" s="47"/>
      <c r="N8" s="47"/>
      <c r="O8" s="47"/>
      <c r="P8" s="47"/>
      <c r="Q8" s="47"/>
    </row>
    <row r="9" spans="1:17" x14ac:dyDescent="0.3">
      <c r="B9" s="9" t="s">
        <v>60</v>
      </c>
      <c r="C9" s="13">
        <f>'Data Sheet'!B19+'Data Sheet'!B21+'Data Sheet'!B22+'Data Sheet'!B23-'Data Sheet'!B20</f>
        <v>18222</v>
      </c>
      <c r="D9" s="13">
        <f>SUM('Data Sheet'!C19,'Data Sheet'!C21:C23)-(1*'Data Sheet'!C20)</f>
        <v>18675</v>
      </c>
      <c r="E9" s="13">
        <f>SUM('Data Sheet'!D19,'Data Sheet'!D21:D23)-(1*'Data Sheet'!D20)</f>
        <v>19314</v>
      </c>
      <c r="F9" s="13">
        <f>SUM('Data Sheet'!E19,'Data Sheet'!E21:E23)-(1*'Data Sheet'!E20)</f>
        <v>21081</v>
      </c>
      <c r="G9" s="13">
        <f>SUM('Data Sheet'!F19,'Data Sheet'!F21:F23)-(1*'Data Sheet'!F20)</f>
        <v>20614</v>
      </c>
      <c r="H9" s="13">
        <f>SUM('Data Sheet'!G19,'Data Sheet'!G21:G23)-(1*'Data Sheet'!G20)</f>
        <v>25301</v>
      </c>
      <c r="I9" s="13">
        <f>SUM('Data Sheet'!H19,'Data Sheet'!H21:H23)-(1*'Data Sheet'!H20)</f>
        <v>29066</v>
      </c>
      <c r="J9" s="13">
        <f>SUM('Data Sheet'!I19,'Data Sheet'!I21:I23)-(1*'Data Sheet'!I20)</f>
        <v>35381</v>
      </c>
      <c r="K9" s="13">
        <f>SUM('Data Sheet'!J19,'Data Sheet'!J21:J23)-(1*'Data Sheet'!J20)</f>
        <v>33651</v>
      </c>
      <c r="L9" s="13">
        <f>SUM('Data Sheet'!K19,'Data Sheet'!K21:K23)-(1*'Data Sheet'!K20)</f>
        <v>34529</v>
      </c>
      <c r="M9" s="46">
        <f>FORECAST($M$3,C9:L9,$C$3:$L$3)</f>
        <v>37601.366784747894</v>
      </c>
      <c r="N9" s="46">
        <f t="shared" ref="N9:Q9" si="3">FORECAST($M$3,D9:M9,$C$3:$L$3)</f>
        <v>40445.843675495882</v>
      </c>
      <c r="O9" s="46">
        <f t="shared" si="3"/>
        <v>43256.825947867241</v>
      </c>
      <c r="P9" s="46">
        <f t="shared" si="3"/>
        <v>45910.945506014279</v>
      </c>
      <c r="Q9" s="46">
        <f t="shared" si="3"/>
        <v>48501.00307047955</v>
      </c>
    </row>
    <row r="10" spans="1:17" x14ac:dyDescent="0.3">
      <c r="B10" s="21" t="s">
        <v>61</v>
      </c>
      <c r="C10" s="18">
        <f>C9/C6</f>
        <v>0.56614677188839868</v>
      </c>
      <c r="D10" s="18">
        <f t="shared" ref="D10:Q10" si="4">D9/D6</f>
        <v>0.5631445630540981</v>
      </c>
      <c r="E10" s="18">
        <f t="shared" si="4"/>
        <v>0.54336756224504146</v>
      </c>
      <c r="F10" s="18">
        <f t="shared" si="4"/>
        <v>0.53627575680488426</v>
      </c>
      <c r="G10" s="18">
        <f t="shared" si="4"/>
        <v>0.51816102355277383</v>
      </c>
      <c r="H10" s="18">
        <f t="shared" si="4"/>
        <v>0.53799863910861612</v>
      </c>
      <c r="I10" s="18">
        <f t="shared" si="4"/>
        <v>0.55420813789421497</v>
      </c>
      <c r="J10" s="18">
        <f t="shared" si="4"/>
        <v>0.58403763618355897</v>
      </c>
      <c r="K10" s="18">
        <f t="shared" si="4"/>
        <v>0.54367002714230317</v>
      </c>
      <c r="L10" s="18">
        <f t="shared" si="4"/>
        <v>0.54702872261212587</v>
      </c>
      <c r="M10" s="45">
        <f t="shared" si="4"/>
        <v>0.5512043032045244</v>
      </c>
      <c r="N10" s="45">
        <f t="shared" si="4"/>
        <v>0.55345219482528707</v>
      </c>
      <c r="O10" s="45">
        <f t="shared" si="4"/>
        <v>0.5562988314078513</v>
      </c>
      <c r="P10" s="45">
        <f t="shared" si="4"/>
        <v>0.55806202458913057</v>
      </c>
      <c r="Q10" s="45">
        <f t="shared" si="4"/>
        <v>0.55892794827629055</v>
      </c>
    </row>
    <row r="11" spans="1:17" x14ac:dyDescent="0.3"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47"/>
      <c r="N11" s="47"/>
      <c r="O11" s="47"/>
      <c r="P11" s="47"/>
      <c r="Q11" s="47"/>
    </row>
    <row r="12" spans="1:17" x14ac:dyDescent="0.3">
      <c r="B12" s="23" t="s">
        <v>62</v>
      </c>
      <c r="C12" s="24">
        <f>C6-C9</f>
        <v>13964</v>
      </c>
      <c r="D12" s="24">
        <f t="shared" ref="D12:K12" si="5">D6-D9</f>
        <v>14487</v>
      </c>
      <c r="E12" s="24">
        <f t="shared" si="5"/>
        <v>16231</v>
      </c>
      <c r="F12" s="24">
        <f t="shared" si="5"/>
        <v>18229</v>
      </c>
      <c r="G12" s="24">
        <f t="shared" si="5"/>
        <v>19169</v>
      </c>
      <c r="H12" s="24">
        <f t="shared" si="5"/>
        <v>21727</v>
      </c>
      <c r="I12" s="24">
        <f t="shared" si="5"/>
        <v>23380</v>
      </c>
      <c r="J12" s="24">
        <f t="shared" si="5"/>
        <v>25199</v>
      </c>
      <c r="K12" s="24">
        <f t="shared" si="5"/>
        <v>28245</v>
      </c>
      <c r="L12" s="24">
        <f>L6-L9</f>
        <v>28592</v>
      </c>
      <c r="M12" s="48">
        <f t="shared" ref="M12:Q12" si="6">M6-M9</f>
        <v>30615.384365679725</v>
      </c>
      <c r="N12" s="48">
        <f t="shared" si="6"/>
        <v>32633.356395729352</v>
      </c>
      <c r="O12" s="48">
        <f t="shared" si="6"/>
        <v>34501.428259489592</v>
      </c>
      <c r="P12" s="48">
        <f t="shared" si="6"/>
        <v>36357.59003860713</v>
      </c>
      <c r="Q12" s="48">
        <f t="shared" si="6"/>
        <v>38274.051245652838</v>
      </c>
    </row>
    <row r="13" spans="1:17" x14ac:dyDescent="0.3">
      <c r="B13" s="21" t="s">
        <v>63</v>
      </c>
      <c r="C13" s="18">
        <f>C12/C6</f>
        <v>0.43385322811160132</v>
      </c>
      <c r="D13" s="18">
        <f t="shared" ref="D13:K13" si="7">D12/D6</f>
        <v>0.43685543694590195</v>
      </c>
      <c r="E13" s="18">
        <f t="shared" si="7"/>
        <v>0.45663243775495849</v>
      </c>
      <c r="F13" s="18">
        <f t="shared" si="7"/>
        <v>0.46372424319511574</v>
      </c>
      <c r="G13" s="18">
        <f t="shared" si="7"/>
        <v>0.48183897644722617</v>
      </c>
      <c r="H13" s="18">
        <f t="shared" si="7"/>
        <v>0.46200136089138388</v>
      </c>
      <c r="I13" s="18">
        <f t="shared" si="7"/>
        <v>0.44579186210578498</v>
      </c>
      <c r="J13" s="18">
        <f t="shared" si="7"/>
        <v>0.41596236381644108</v>
      </c>
      <c r="K13" s="18">
        <f t="shared" si="7"/>
        <v>0.45632997285769678</v>
      </c>
      <c r="L13" s="18">
        <f>L12/L6</f>
        <v>0.45297127738787407</v>
      </c>
      <c r="M13" s="45">
        <f t="shared" ref="M13:Q13" si="8">M12/M6</f>
        <v>0.4487956967954756</v>
      </c>
      <c r="N13" s="45">
        <f t="shared" si="8"/>
        <v>0.44654780517471293</v>
      </c>
      <c r="O13" s="45">
        <f t="shared" si="8"/>
        <v>0.44370116859214875</v>
      </c>
      <c r="P13" s="45">
        <f t="shared" si="8"/>
        <v>0.44193797541086938</v>
      </c>
      <c r="Q13" s="45">
        <f t="shared" si="8"/>
        <v>0.44107205172370939</v>
      </c>
    </row>
    <row r="14" spans="1:17" x14ac:dyDescent="0.3"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47"/>
      <c r="N14" s="47"/>
      <c r="O14" s="47"/>
      <c r="P14" s="47"/>
      <c r="Q14" s="47"/>
    </row>
    <row r="15" spans="1:17" x14ac:dyDescent="0.3">
      <c r="B15" s="9" t="s">
        <v>64</v>
      </c>
      <c r="C15" s="13">
        <f>SUM('Data Sheet'!B24:B25)</f>
        <v>8054</v>
      </c>
      <c r="D15" s="13">
        <f>SUM('Data Sheet'!C24:C25)</f>
        <v>8159</v>
      </c>
      <c r="E15" s="13">
        <f>SUM('Data Sheet'!D24:D25)</f>
        <v>8732</v>
      </c>
      <c r="F15" s="13">
        <f>SUM('Data Sheet'!E24:E25)</f>
        <v>9349</v>
      </c>
      <c r="G15" s="13">
        <f>SUM('Data Sheet'!F24:F25)</f>
        <v>9308</v>
      </c>
      <c r="H15" s="13">
        <f>SUM('Data Sheet'!G24:G25)</f>
        <v>10101</v>
      </c>
      <c r="I15" s="13">
        <f>SUM('Data Sheet'!H24:H25)</f>
        <v>10523</v>
      </c>
      <c r="J15" s="13">
        <f>SUM('Data Sheet'!I24:I25)</f>
        <v>11052</v>
      </c>
      <c r="K15" s="13">
        <f>SUM('Data Sheet'!J24:J25)</f>
        <v>13586</v>
      </c>
      <c r="L15" s="13">
        <f>SUM('Data Sheet'!K24:K25)</f>
        <v>13749</v>
      </c>
      <c r="M15" s="46">
        <f>FORECAST($M$3,C15:L15,$C$3:$L$3)</f>
        <v>13766.516226316147</v>
      </c>
      <c r="N15" s="46">
        <f t="shared" ref="N15:Q15" si="9">FORECAST($M$3,D15:M15,$C$3:$L$3)</f>
        <v>14579.82512669776</v>
      </c>
      <c r="O15" s="46">
        <f t="shared" si="9"/>
        <v>15365.7139508978</v>
      </c>
      <c r="P15" s="46">
        <f t="shared" si="9"/>
        <v>16190.865861881437</v>
      </c>
      <c r="Q15" s="46">
        <f t="shared" si="9"/>
        <v>17068.367072842186</v>
      </c>
    </row>
    <row r="16" spans="1:17" x14ac:dyDescent="0.3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47"/>
      <c r="N16" s="47"/>
      <c r="O16" s="47"/>
      <c r="P16" s="47"/>
      <c r="Q16" s="47"/>
    </row>
    <row r="17" spans="2:17" x14ac:dyDescent="0.3">
      <c r="B17" s="23" t="s">
        <v>65</v>
      </c>
      <c r="C17" s="24">
        <f>C12-C15</f>
        <v>5910</v>
      </c>
      <c r="D17" s="24">
        <f t="shared" ref="D17:K17" si="10">D12-D15</f>
        <v>6328</v>
      </c>
      <c r="E17" s="24">
        <f t="shared" si="10"/>
        <v>7499</v>
      </c>
      <c r="F17" s="24">
        <f t="shared" si="10"/>
        <v>8880</v>
      </c>
      <c r="G17" s="24">
        <f t="shared" si="10"/>
        <v>9861</v>
      </c>
      <c r="H17" s="24">
        <f t="shared" si="10"/>
        <v>11626</v>
      </c>
      <c r="I17" s="24">
        <f t="shared" si="10"/>
        <v>12857</v>
      </c>
      <c r="J17" s="24">
        <f t="shared" si="10"/>
        <v>14147</v>
      </c>
      <c r="K17" s="24">
        <f t="shared" si="10"/>
        <v>14659</v>
      </c>
      <c r="L17" s="24">
        <f>L12-L15</f>
        <v>14843</v>
      </c>
      <c r="M17" s="48">
        <f t="shared" ref="M17:Q17" si="11">M12-M15</f>
        <v>16848.868139363578</v>
      </c>
      <c r="N17" s="48">
        <f t="shared" si="11"/>
        <v>18053.531269031591</v>
      </c>
      <c r="O17" s="48">
        <f t="shared" si="11"/>
        <v>19135.714308591792</v>
      </c>
      <c r="P17" s="48">
        <f t="shared" si="11"/>
        <v>20166.724176725693</v>
      </c>
      <c r="Q17" s="48">
        <f t="shared" si="11"/>
        <v>21205.684172810652</v>
      </c>
    </row>
    <row r="18" spans="2:17" x14ac:dyDescent="0.3">
      <c r="B18" s="21" t="s">
        <v>66</v>
      </c>
      <c r="C18" s="18">
        <f>C17/C6</f>
        <v>0.18362020754365252</v>
      </c>
      <c r="D18" s="18">
        <f t="shared" ref="D18:K18" si="12">D17/D6</f>
        <v>0.1908208190097099</v>
      </c>
      <c r="E18" s="18">
        <f t="shared" si="12"/>
        <v>0.21097200731467156</v>
      </c>
      <c r="F18" s="18">
        <f t="shared" si="12"/>
        <v>0.2258967183922666</v>
      </c>
      <c r="G18" s="18">
        <f t="shared" si="12"/>
        <v>0.24786969308498605</v>
      </c>
      <c r="H18" s="18">
        <f t="shared" si="12"/>
        <v>0.24721442544866887</v>
      </c>
      <c r="I18" s="18">
        <f t="shared" si="12"/>
        <v>0.24514738969606834</v>
      </c>
      <c r="J18" s="18">
        <f t="shared" si="12"/>
        <v>0.23352591614394189</v>
      </c>
      <c r="K18" s="18">
        <f t="shared" si="12"/>
        <v>0.23683275171255008</v>
      </c>
      <c r="L18" s="18">
        <f>L17/L6</f>
        <v>0.23515153435465216</v>
      </c>
      <c r="M18" s="45">
        <f t="shared" ref="M18:Q18" si="13">M17/M6</f>
        <v>0.24699018723728769</v>
      </c>
      <c r="N18" s="45">
        <f t="shared" si="13"/>
        <v>0.24704062512227917</v>
      </c>
      <c r="O18" s="45">
        <f t="shared" si="13"/>
        <v>0.24609238599368313</v>
      </c>
      <c r="P18" s="45">
        <f t="shared" si="13"/>
        <v>0.2451328936782583</v>
      </c>
      <c r="Q18" s="45">
        <f t="shared" si="13"/>
        <v>0.24437534888259119</v>
      </c>
    </row>
    <row r="19" spans="2:17" x14ac:dyDescent="0.3"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47"/>
      <c r="N19" s="47"/>
      <c r="O19" s="47"/>
      <c r="P19" s="47"/>
      <c r="Q19" s="47"/>
    </row>
    <row r="20" spans="2:17" x14ac:dyDescent="0.3">
      <c r="B20" s="22" t="s">
        <v>5</v>
      </c>
      <c r="C20" s="13">
        <f>'Data Sheet'!B27</f>
        <v>353</v>
      </c>
      <c r="D20" s="13">
        <f>'Data Sheet'!C27</f>
        <v>432</v>
      </c>
      <c r="E20" s="13">
        <f>'Data Sheet'!D27</f>
        <v>520</v>
      </c>
      <c r="F20" s="13">
        <f>'Data Sheet'!E27</f>
        <v>565</v>
      </c>
      <c r="G20" s="13">
        <f>'Data Sheet'!F27</f>
        <v>1002</v>
      </c>
      <c r="H20" s="13">
        <f>'Data Sheet'!G27</f>
        <v>1074</v>
      </c>
      <c r="I20" s="13">
        <f>'Data Sheet'!H27</f>
        <v>1091</v>
      </c>
      <c r="J20" s="13">
        <f>'Data Sheet'!I27</f>
        <v>1137</v>
      </c>
      <c r="K20" s="13">
        <f>'Data Sheet'!J27</f>
        <v>1216</v>
      </c>
      <c r="L20" s="13">
        <f>'Data Sheet'!K27</f>
        <v>1355</v>
      </c>
      <c r="M20" s="46">
        <f>FORECAST($M$3,C20:L20,$C$3:$L$3)</f>
        <v>1515.845545642067</v>
      </c>
      <c r="N20" s="46">
        <f t="shared" ref="N20:Q20" si="14">FORECAST($M$3,D20:M20,$C$3:$L$3)</f>
        <v>1633.2949519872454</v>
      </c>
      <c r="O20" s="46">
        <f t="shared" si="14"/>
        <v>1741.2762254776862</v>
      </c>
      <c r="P20" s="46">
        <f t="shared" si="14"/>
        <v>1835.8456468232052</v>
      </c>
      <c r="Q20" s="46">
        <f t="shared" si="14"/>
        <v>1898.8485572472509</v>
      </c>
    </row>
    <row r="21" spans="2:17" x14ac:dyDescent="0.3"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47"/>
      <c r="N21" s="47"/>
      <c r="O21" s="47"/>
      <c r="P21" s="47"/>
      <c r="Q21" s="47"/>
    </row>
    <row r="22" spans="2:17" x14ac:dyDescent="0.3">
      <c r="B22" s="23" t="s">
        <v>67</v>
      </c>
      <c r="C22" s="24">
        <f>C17-C20</f>
        <v>5557</v>
      </c>
      <c r="D22" s="24">
        <f t="shared" ref="D22:K22" si="15">D17-D20</f>
        <v>5896</v>
      </c>
      <c r="E22" s="24">
        <f t="shared" si="15"/>
        <v>6979</v>
      </c>
      <c r="F22" s="24">
        <f t="shared" si="15"/>
        <v>8315</v>
      </c>
      <c r="G22" s="24">
        <f t="shared" si="15"/>
        <v>8859</v>
      </c>
      <c r="H22" s="24">
        <f t="shared" si="15"/>
        <v>10552</v>
      </c>
      <c r="I22" s="24">
        <f t="shared" si="15"/>
        <v>11766</v>
      </c>
      <c r="J22" s="24">
        <f t="shared" si="15"/>
        <v>13010</v>
      </c>
      <c r="K22" s="24">
        <f t="shared" si="15"/>
        <v>13443</v>
      </c>
      <c r="L22" s="24">
        <f>L17-L20</f>
        <v>13488</v>
      </c>
      <c r="M22" s="48">
        <f t="shared" ref="M22:Q22" si="16">M17-M20</f>
        <v>15333.022593721511</v>
      </c>
      <c r="N22" s="48">
        <f t="shared" si="16"/>
        <v>16420.236317044346</v>
      </c>
      <c r="O22" s="48">
        <f t="shared" si="16"/>
        <v>17394.438083114106</v>
      </c>
      <c r="P22" s="48">
        <f t="shared" si="16"/>
        <v>18330.878529902489</v>
      </c>
      <c r="Q22" s="48">
        <f t="shared" si="16"/>
        <v>19306.835615563403</v>
      </c>
    </row>
    <row r="23" spans="2:17" x14ac:dyDescent="0.3">
      <c r="B23" s="21" t="s">
        <v>68</v>
      </c>
      <c r="C23" s="18">
        <f>C22/C6</f>
        <v>0.17265270614552911</v>
      </c>
      <c r="D23" s="18">
        <f t="shared" ref="D23:K23" si="17">D22/D6</f>
        <v>0.17779386044267534</v>
      </c>
      <c r="E23" s="18">
        <f t="shared" si="17"/>
        <v>0.19634266422844282</v>
      </c>
      <c r="F23" s="18">
        <f t="shared" si="17"/>
        <v>0.21152378529636226</v>
      </c>
      <c r="G23" s="18">
        <f t="shared" si="17"/>
        <v>0.22268305557650253</v>
      </c>
      <c r="H23" s="18">
        <f t="shared" si="17"/>
        <v>0.22437696691332823</v>
      </c>
      <c r="I23" s="18">
        <f t="shared" si="17"/>
        <v>0.22434504061320215</v>
      </c>
      <c r="J23" s="18">
        <f t="shared" si="17"/>
        <v>0.21475734565863322</v>
      </c>
      <c r="K23" s="18">
        <f t="shared" si="17"/>
        <v>0.21718689414501746</v>
      </c>
      <c r="L23" s="18">
        <f>L22/L6</f>
        <v>0.21368482755342913</v>
      </c>
      <c r="M23" s="45">
        <f t="shared" ref="M23:Q23" si="18">M22/M6</f>
        <v>0.22476917084353695</v>
      </c>
      <c r="N23" s="45">
        <f t="shared" si="18"/>
        <v>0.22469096953771633</v>
      </c>
      <c r="O23" s="45">
        <f t="shared" si="18"/>
        <v>0.22369892766276112</v>
      </c>
      <c r="P23" s="45">
        <f t="shared" si="18"/>
        <v>0.22281761074937398</v>
      </c>
      <c r="Q23" s="45">
        <f t="shared" si="18"/>
        <v>0.22249292458205999</v>
      </c>
    </row>
    <row r="24" spans="2:17" x14ac:dyDescent="0.3"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47"/>
      <c r="N24" s="47"/>
      <c r="O24" s="47"/>
      <c r="P24" s="47"/>
      <c r="Q24" s="47"/>
    </row>
    <row r="25" spans="2:17" x14ac:dyDescent="0.3">
      <c r="B25" s="9" t="s">
        <v>6</v>
      </c>
      <c r="C25" s="13">
        <f>'Data Sheet'!B28</f>
        <v>17</v>
      </c>
      <c r="D25" s="13">
        <f>'Data Sheet'!C28</f>
        <v>35</v>
      </c>
      <c r="E25" s="13">
        <f>'Data Sheet'!D28</f>
        <v>26</v>
      </c>
      <c r="F25" s="13">
        <f>'Data Sheet'!E28</f>
        <v>33</v>
      </c>
      <c r="G25" s="13">
        <f>'Data Sheet'!F28</f>
        <v>118</v>
      </c>
      <c r="H25" s="13">
        <f>'Data Sheet'!G28</f>
        <v>117</v>
      </c>
      <c r="I25" s="13">
        <f>'Data Sheet'!H28</f>
        <v>106</v>
      </c>
      <c r="J25" s="13">
        <f>'Data Sheet'!I28</f>
        <v>114</v>
      </c>
      <c r="K25" s="13">
        <f>'Data Sheet'!J28</f>
        <v>334</v>
      </c>
      <c r="L25" s="13">
        <f>'Data Sheet'!K28</f>
        <v>395</v>
      </c>
      <c r="M25" s="46">
        <f>FORECAST($M$3,C25:L25,$C$3:$L$3)</f>
        <v>334.61031544282196</v>
      </c>
      <c r="N25" s="46">
        <f t="shared" ref="N25:Q25" si="19">FORECAST($M$3,D25:M25,$C$3:$L$3)</f>
        <v>386.63290337035778</v>
      </c>
      <c r="O25" s="46">
        <f t="shared" si="19"/>
        <v>443.09282259066913</v>
      </c>
      <c r="P25" s="46">
        <f t="shared" si="19"/>
        <v>496.32575564742456</v>
      </c>
      <c r="Q25" s="46">
        <f t="shared" si="19"/>
        <v>544.92083452313909</v>
      </c>
    </row>
    <row r="26" spans="2:17" x14ac:dyDescent="0.3">
      <c r="B26" s="21" t="s">
        <v>69</v>
      </c>
      <c r="C26" s="18">
        <f>C25/C6</f>
        <v>5.2817995401727462E-4</v>
      </c>
      <c r="D26" s="18">
        <f t="shared" ref="D26:K26" si="20">D25/D6</f>
        <v>1.0554248839032628E-3</v>
      </c>
      <c r="E26" s="18">
        <f t="shared" si="20"/>
        <v>7.3146715431143621E-4</v>
      </c>
      <c r="F26" s="18">
        <f t="shared" si="20"/>
        <v>8.3948104807936915E-4</v>
      </c>
      <c r="G26" s="18">
        <f t="shared" si="20"/>
        <v>2.9660910439132291E-3</v>
      </c>
      <c r="H26" s="18">
        <f t="shared" si="20"/>
        <v>2.4878795611125285E-3</v>
      </c>
      <c r="I26" s="18">
        <f t="shared" si="20"/>
        <v>2.0211264920108303E-3</v>
      </c>
      <c r="J26" s="18">
        <f t="shared" si="20"/>
        <v>1.881809177946517E-3</v>
      </c>
      <c r="K26" s="18">
        <f t="shared" si="20"/>
        <v>5.3961483779242604E-3</v>
      </c>
      <c r="L26" s="18">
        <f>L25/L6</f>
        <v>6.2578222778473091E-3</v>
      </c>
      <c r="M26" s="45">
        <f t="shared" ref="M26:Q26" si="21">M25/M6</f>
        <v>4.905104828357462E-3</v>
      </c>
      <c r="N26" s="45">
        <f t="shared" si="21"/>
        <v>5.2906011969689522E-3</v>
      </c>
      <c r="O26" s="45">
        <f t="shared" si="21"/>
        <v>5.698338100661054E-3</v>
      </c>
      <c r="P26" s="45">
        <f t="shared" si="21"/>
        <v>6.032996118889509E-3</v>
      </c>
      <c r="Q26" s="45">
        <f t="shared" si="21"/>
        <v>6.2796945368414781E-3</v>
      </c>
    </row>
    <row r="27" spans="2:17" x14ac:dyDescent="0.3"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47"/>
      <c r="N27" s="47"/>
      <c r="O27" s="47"/>
      <c r="P27" s="47"/>
      <c r="Q27" s="47"/>
    </row>
    <row r="28" spans="2:17" x14ac:dyDescent="0.3">
      <c r="B28" s="23" t="s">
        <v>70</v>
      </c>
      <c r="C28" s="24">
        <f>C22-C25</f>
        <v>5540</v>
      </c>
      <c r="D28" s="24">
        <f t="shared" ref="D28:K28" si="22">D22-D25</f>
        <v>5861</v>
      </c>
      <c r="E28" s="24">
        <f t="shared" si="22"/>
        <v>6953</v>
      </c>
      <c r="F28" s="24">
        <f t="shared" si="22"/>
        <v>8282</v>
      </c>
      <c r="G28" s="24">
        <f t="shared" si="22"/>
        <v>8741</v>
      </c>
      <c r="H28" s="24">
        <f t="shared" si="22"/>
        <v>10435</v>
      </c>
      <c r="I28" s="24">
        <f t="shared" si="22"/>
        <v>11660</v>
      </c>
      <c r="J28" s="24">
        <f t="shared" si="22"/>
        <v>12896</v>
      </c>
      <c r="K28" s="24">
        <f t="shared" si="22"/>
        <v>13109</v>
      </c>
      <c r="L28" s="24">
        <f>L22-L25</f>
        <v>13093</v>
      </c>
      <c r="M28" s="48">
        <f t="shared" ref="M28:Q28" si="23">M22-M25</f>
        <v>14998.412278278689</v>
      </c>
      <c r="N28" s="48">
        <f t="shared" si="23"/>
        <v>16033.603413673987</v>
      </c>
      <c r="O28" s="48">
        <f t="shared" si="23"/>
        <v>16951.345260523438</v>
      </c>
      <c r="P28" s="48">
        <f t="shared" si="23"/>
        <v>17834.552774255066</v>
      </c>
      <c r="Q28" s="48">
        <f t="shared" si="23"/>
        <v>18761.914781040265</v>
      </c>
    </row>
    <row r="29" spans="2:17" x14ac:dyDescent="0.3">
      <c r="B29" s="21" t="s">
        <v>71</v>
      </c>
      <c r="C29" s="18">
        <f>C28/C6</f>
        <v>0.17212452619151183</v>
      </c>
      <c r="D29" s="18">
        <f t="shared" ref="D29:K29" si="24">D28/D6</f>
        <v>0.17673843555877208</v>
      </c>
      <c r="E29" s="18">
        <f t="shared" si="24"/>
        <v>0.19561119707413138</v>
      </c>
      <c r="F29" s="18">
        <f t="shared" si="24"/>
        <v>0.21068430424828288</v>
      </c>
      <c r="G29" s="18">
        <f t="shared" si="24"/>
        <v>0.21971696453258929</v>
      </c>
      <c r="H29" s="18">
        <f t="shared" si="24"/>
        <v>0.22188908735221571</v>
      </c>
      <c r="I29" s="18">
        <f t="shared" si="24"/>
        <v>0.22232391412119132</v>
      </c>
      <c r="J29" s="18">
        <f t="shared" si="24"/>
        <v>0.21287553648068669</v>
      </c>
      <c r="K29" s="18">
        <f t="shared" si="24"/>
        <v>0.2117907457670932</v>
      </c>
      <c r="L29" s="18">
        <f>L28/L6</f>
        <v>0.20742700527558183</v>
      </c>
      <c r="M29" s="45">
        <f t="shared" ref="M29:Q29" si="25">M28/M6</f>
        <v>0.21986406601517949</v>
      </c>
      <c r="N29" s="45">
        <f t="shared" si="25"/>
        <v>0.21940036834074736</v>
      </c>
      <c r="O29" s="45">
        <f t="shared" si="25"/>
        <v>0.21800058956210008</v>
      </c>
      <c r="P29" s="45">
        <f t="shared" si="25"/>
        <v>0.21678461463048446</v>
      </c>
      <c r="Q29" s="45">
        <f t="shared" si="25"/>
        <v>0.21621323004521853</v>
      </c>
    </row>
    <row r="30" spans="2:17" x14ac:dyDescent="0.3"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47"/>
      <c r="N30" s="47"/>
      <c r="O30" s="47"/>
      <c r="P30" s="47"/>
      <c r="Q30" s="47"/>
    </row>
    <row r="31" spans="2:17" x14ac:dyDescent="0.3">
      <c r="B31" s="9" t="s">
        <v>8</v>
      </c>
      <c r="C31" s="13">
        <f>'Data Sheet'!B30</f>
        <v>1875</v>
      </c>
      <c r="D31" s="13">
        <f>'Data Sheet'!C30</f>
        <v>1977</v>
      </c>
      <c r="E31" s="13">
        <f>'Data Sheet'!D30</f>
        <v>2079</v>
      </c>
      <c r="F31" s="13">
        <f>'Data Sheet'!E30</f>
        <v>2544</v>
      </c>
      <c r="G31" s="13">
        <f>'Data Sheet'!F30</f>
        <v>2409</v>
      </c>
      <c r="H31" s="13">
        <f>'Data Sheet'!G30</f>
        <v>2606</v>
      </c>
      <c r="I31" s="13">
        <f>'Data Sheet'!H30</f>
        <v>2987</v>
      </c>
      <c r="J31" s="13">
        <f>'Data Sheet'!I30</f>
        <v>3201</v>
      </c>
      <c r="K31" s="13">
        <f>'Data Sheet'!J30</f>
        <v>3644</v>
      </c>
      <c r="L31" s="13">
        <f>'Data Sheet'!K30</f>
        <v>3744</v>
      </c>
      <c r="M31" s="46">
        <f>FORECAST($M$3,C31:L31,$C$3:$L$3)</f>
        <v>3894.0558728006654</v>
      </c>
      <c r="N31" s="46">
        <f t="shared" ref="N31:Q31" si="26">FORECAST($M$3,D31:M31,$C$3:$L$3)</f>
        <v>4147.2626314059526</v>
      </c>
      <c r="O31" s="46">
        <f t="shared" si="26"/>
        <v>4394.3800209720648</v>
      </c>
      <c r="P31" s="46">
        <f t="shared" si="26"/>
        <v>4622.8564847927373</v>
      </c>
      <c r="Q31" s="46">
        <f t="shared" si="26"/>
        <v>4912.3356991117835</v>
      </c>
    </row>
    <row r="32" spans="2:17" x14ac:dyDescent="0.3"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47"/>
      <c r="N32" s="47"/>
      <c r="O32" s="47"/>
      <c r="P32" s="47"/>
      <c r="Q32" s="47"/>
    </row>
    <row r="33" spans="1:18" x14ac:dyDescent="0.3">
      <c r="B33" s="33" t="s">
        <v>72</v>
      </c>
      <c r="C33" s="34">
        <f>C28-C31</f>
        <v>3665</v>
      </c>
      <c r="D33" s="34">
        <f t="shared" ref="D33:K33" si="27">D28-D31</f>
        <v>3884</v>
      </c>
      <c r="E33" s="34">
        <f t="shared" si="27"/>
        <v>4874</v>
      </c>
      <c r="F33" s="34">
        <f t="shared" si="27"/>
        <v>5738</v>
      </c>
      <c r="G33" s="34">
        <f t="shared" si="27"/>
        <v>6332</v>
      </c>
      <c r="H33" s="34">
        <f t="shared" si="27"/>
        <v>7829</v>
      </c>
      <c r="I33" s="34">
        <f t="shared" si="27"/>
        <v>8673</v>
      </c>
      <c r="J33" s="34">
        <f t="shared" si="27"/>
        <v>9695</v>
      </c>
      <c r="K33" s="34">
        <f t="shared" si="27"/>
        <v>9465</v>
      </c>
      <c r="L33" s="34">
        <f>L28-L31</f>
        <v>9349</v>
      </c>
      <c r="M33" s="49">
        <f t="shared" ref="M33:Q33" si="28">M28-M31</f>
        <v>11104.356405478024</v>
      </c>
      <c r="N33" s="49">
        <f t="shared" si="28"/>
        <v>11886.340782268035</v>
      </c>
      <c r="O33" s="49">
        <f t="shared" si="28"/>
        <v>12556.965239551373</v>
      </c>
      <c r="P33" s="49">
        <f t="shared" si="28"/>
        <v>13211.696289462328</v>
      </c>
      <c r="Q33" s="49">
        <f t="shared" si="28"/>
        <v>13849.579081928481</v>
      </c>
    </row>
    <row r="34" spans="1:18" x14ac:dyDescent="0.3">
      <c r="B34" s="21" t="s">
        <v>73</v>
      </c>
      <c r="C34" s="18">
        <f>C33/C6</f>
        <v>0.11386938420431243</v>
      </c>
      <c r="D34" s="18">
        <f t="shared" ref="D34:K34" si="29">D33/D6</f>
        <v>0.11712200711657922</v>
      </c>
      <c r="E34" s="18">
        <f t="shared" si="29"/>
        <v>0.1371219580813054</v>
      </c>
      <c r="F34" s="18">
        <f t="shared" si="29"/>
        <v>0.14596794708725516</v>
      </c>
      <c r="G34" s="18">
        <f t="shared" si="29"/>
        <v>0.15916346178015736</v>
      </c>
      <c r="H34" s="18">
        <f t="shared" si="29"/>
        <v>0.16647529131581185</v>
      </c>
      <c r="I34" s="18">
        <f t="shared" si="29"/>
        <v>0.16537009495481067</v>
      </c>
      <c r="J34" s="18">
        <f t="shared" si="29"/>
        <v>0.16003631561571477</v>
      </c>
      <c r="K34" s="18">
        <f t="shared" si="29"/>
        <v>0.15291779759596744</v>
      </c>
      <c r="L34" s="18">
        <f>L33/L6</f>
        <v>0.14811235563441644</v>
      </c>
      <c r="M34" s="45">
        <f t="shared" ref="M34:Q34" si="30">M33/M6</f>
        <v>0.16278049332767755</v>
      </c>
      <c r="N34" s="45">
        <f t="shared" si="30"/>
        <v>0.16265012165819059</v>
      </c>
      <c r="O34" s="45">
        <f t="shared" si="30"/>
        <v>0.16148723203154602</v>
      </c>
      <c r="P34" s="45">
        <f t="shared" si="30"/>
        <v>0.16059233584261959</v>
      </c>
      <c r="Q34" s="45">
        <f t="shared" si="30"/>
        <v>0.15960323149407352</v>
      </c>
    </row>
    <row r="35" spans="1:18" x14ac:dyDescent="0.3">
      <c r="B35"/>
    </row>
    <row r="37" spans="1:18" x14ac:dyDescent="0.3">
      <c r="A37" t="s">
        <v>57</v>
      </c>
      <c r="B37" s="20" t="s">
        <v>75</v>
      </c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</row>
    <row r="39" spans="1:18" x14ac:dyDescent="0.3">
      <c r="B39" s="40" t="str">
        <f>'Data Sheet'!A58</f>
        <v>Equity Share Capital</v>
      </c>
      <c r="C39" s="12">
        <f>'Data Sheet'!B58</f>
        <v>216</v>
      </c>
      <c r="D39" s="12">
        <f>'Data Sheet'!C58</f>
        <v>216</v>
      </c>
      <c r="E39" s="12">
        <f>'Data Sheet'!D58</f>
        <v>216</v>
      </c>
      <c r="F39" s="12">
        <f>'Data Sheet'!E58</f>
        <v>216</v>
      </c>
      <c r="G39" s="12">
        <f>'Data Sheet'!F58</f>
        <v>216</v>
      </c>
      <c r="H39" s="12">
        <f>'Data Sheet'!G58</f>
        <v>235</v>
      </c>
      <c r="I39" s="12">
        <f>'Data Sheet'!H58</f>
        <v>235</v>
      </c>
      <c r="J39" s="12">
        <f>'Data Sheet'!I58</f>
        <v>235</v>
      </c>
      <c r="K39" s="12">
        <f>'Data Sheet'!J58</f>
        <v>235</v>
      </c>
      <c r="L39" s="12">
        <f>'Data Sheet'!K58</f>
        <v>235</v>
      </c>
      <c r="M39" s="46">
        <f>FORECAST($M$3,C39:L39,$C$3:$L$3)</f>
        <v>241.3321762537978</v>
      </c>
      <c r="N39" s="46">
        <f t="shared" ref="N39:Q39" si="31">FORECAST($M$3,D39:M39,$C$3:$L$3)</f>
        <v>245.13286925854845</v>
      </c>
      <c r="O39" s="46">
        <f t="shared" si="31"/>
        <v>248.76279290318902</v>
      </c>
      <c r="P39" s="46">
        <f t="shared" si="31"/>
        <v>251.90275698288582</v>
      </c>
      <c r="Q39" s="46">
        <f t="shared" si="31"/>
        <v>254.11542149491746</v>
      </c>
    </row>
    <row r="40" spans="1:18" x14ac:dyDescent="0.3">
      <c r="B40" s="40" t="str">
        <f>'Data Sheet'!A59</f>
        <v>Reserves</v>
      </c>
      <c r="C40" s="12">
        <f>'Data Sheet'!B59</f>
        <v>6357</v>
      </c>
      <c r="D40" s="12">
        <f>'Data Sheet'!C59</f>
        <v>6528</v>
      </c>
      <c r="E40" s="12">
        <f>'Data Sheet'!D59</f>
        <v>7065</v>
      </c>
      <c r="F40" s="12">
        <f>'Data Sheet'!E59</f>
        <v>7651</v>
      </c>
      <c r="G40" s="12">
        <f>'Data Sheet'!F59</f>
        <v>8013</v>
      </c>
      <c r="H40" s="12">
        <f>'Data Sheet'!G59</f>
        <v>47439</v>
      </c>
      <c r="I40" s="12">
        <f>'Data Sheet'!H59</f>
        <v>48826</v>
      </c>
      <c r="J40" s="12">
        <f>'Data Sheet'!I59</f>
        <v>50069</v>
      </c>
      <c r="K40" s="12">
        <f>'Data Sheet'!J59</f>
        <v>50983</v>
      </c>
      <c r="L40" s="12">
        <f>'Data Sheet'!K59</f>
        <v>49167</v>
      </c>
      <c r="M40" s="46">
        <f t="shared" ref="M40:M58" si="32">FORECAST($M$3,C40:L40,$C$3:$L$3)</f>
        <v>64022.055765128927</v>
      </c>
      <c r="N40" s="46">
        <f t="shared" ref="N40:N58" si="33">FORECAST($M$3,D40:M40,$C$3:$L$3)</f>
        <v>72521.733284078073</v>
      </c>
      <c r="O40" s="46">
        <f t="shared" ref="O40:O58" si="34">FORECAST($M$3,E40:N40,$C$3:$L$3)</f>
        <v>80618.466248992016</v>
      </c>
      <c r="P40" s="46">
        <f t="shared" ref="P40:P58" si="35">FORECAST($M$3,F40:O40,$C$3:$L$3)</f>
        <v>87697.692509721266</v>
      </c>
      <c r="Q40" s="46">
        <f t="shared" ref="Q40:Q58" si="36">FORECAST($M$3,G40:P40,$C$3:$L$3)</f>
        <v>92863.042120596743</v>
      </c>
      <c r="R40" t="s">
        <v>136</v>
      </c>
    </row>
    <row r="41" spans="1:18" x14ac:dyDescent="0.3">
      <c r="B41" s="40" t="str">
        <f>'Data Sheet'!A60</f>
        <v>Borrowings</v>
      </c>
      <c r="C41" s="12">
        <f>'Data Sheet'!B60</f>
        <v>177</v>
      </c>
      <c r="D41" s="12">
        <f>'Data Sheet'!C60</f>
        <v>277</v>
      </c>
      <c r="E41" s="12">
        <f>'Data Sheet'!D60</f>
        <v>0</v>
      </c>
      <c r="F41" s="12">
        <f>'Data Sheet'!E60</f>
        <v>99</v>
      </c>
      <c r="G41" s="12">
        <f>'Data Sheet'!F60</f>
        <v>0</v>
      </c>
      <c r="H41" s="12">
        <f>'Data Sheet'!G60</f>
        <v>0</v>
      </c>
      <c r="I41" s="12">
        <f>'Data Sheet'!H60</f>
        <v>1043</v>
      </c>
      <c r="J41" s="12">
        <f>'Data Sheet'!I60</f>
        <v>1219</v>
      </c>
      <c r="K41" s="12">
        <f>'Data Sheet'!J60</f>
        <v>1484</v>
      </c>
      <c r="L41" s="12">
        <f>'Data Sheet'!K60</f>
        <v>1648</v>
      </c>
      <c r="M41" s="46">
        <f t="shared" si="32"/>
        <v>1615.1426891021692</v>
      </c>
      <c r="N41" s="46">
        <f t="shared" si="33"/>
        <v>1911.9301423805191</v>
      </c>
      <c r="O41" s="46">
        <f t="shared" si="34"/>
        <v>2258.2509574388241</v>
      </c>
      <c r="P41" s="46">
        <f t="shared" si="35"/>
        <v>2560.1670081484626</v>
      </c>
      <c r="Q41" s="46">
        <f t="shared" si="36"/>
        <v>2858.7109908240163</v>
      </c>
    </row>
    <row r="42" spans="1:18" x14ac:dyDescent="0.3">
      <c r="B42" s="40" t="str">
        <f>'Data Sheet'!A61</f>
        <v>Other Liabilities</v>
      </c>
      <c r="C42" s="12">
        <f>'Data Sheet'!B61-'Data Sheet'!B78</f>
        <v>2358</v>
      </c>
      <c r="D42" s="12">
        <f>'Data Sheet'!C61-'Data Sheet'!C78</f>
        <v>2499</v>
      </c>
      <c r="E42" s="12">
        <f>'Data Sheet'!D61-'Data Sheet'!D78</f>
        <v>3411</v>
      </c>
      <c r="F42" s="12">
        <f>'Data Sheet'!E61-'Data Sheet'!E78</f>
        <v>3457</v>
      </c>
      <c r="G42" s="12">
        <f>'Data Sheet'!F61-'Data Sheet'!F78</f>
        <v>4389</v>
      </c>
      <c r="H42" s="12">
        <f>'Data Sheet'!G61-'Data Sheet'!G78</f>
        <v>12264</v>
      </c>
      <c r="I42" s="12">
        <f>'Data Sheet'!H61-'Data Sheet'!H78</f>
        <v>11334</v>
      </c>
      <c r="J42" s="12">
        <f>'Data Sheet'!I61-'Data Sheet'!I78</f>
        <v>11980</v>
      </c>
      <c r="K42" s="12">
        <f>'Data Sheet'!J61-'Data Sheet'!J78</f>
        <v>15301</v>
      </c>
      <c r="L42" s="12">
        <f>'Data Sheet'!K61-'Data Sheet'!K78</f>
        <v>17498</v>
      </c>
      <c r="M42" s="46">
        <f t="shared" si="32"/>
        <v>18456.22369309864</v>
      </c>
      <c r="N42" s="46">
        <f t="shared" si="33"/>
        <v>20835.011380549113</v>
      </c>
      <c r="O42" s="46">
        <f t="shared" si="34"/>
        <v>23128.627316015685</v>
      </c>
      <c r="P42" s="46">
        <f t="shared" si="35"/>
        <v>25361.265187216166</v>
      </c>
      <c r="Q42" s="46">
        <f t="shared" si="36"/>
        <v>27185.118435379962</v>
      </c>
    </row>
    <row r="43" spans="1:18" x14ac:dyDescent="0.3">
      <c r="B43" t="s">
        <v>138</v>
      </c>
      <c r="C43" s="12">
        <f>'Data Sheet'!B78</f>
        <v>5685</v>
      </c>
      <c r="D43" s="12">
        <f>'Data Sheet'!C78</f>
        <v>6186</v>
      </c>
      <c r="E43" s="12">
        <f>'Data Sheet'!D78</f>
        <v>7170</v>
      </c>
      <c r="F43" s="12">
        <f>'Data Sheet'!E78</f>
        <v>7206</v>
      </c>
      <c r="G43" s="12">
        <f>'Data Sheet'!F78</f>
        <v>7535</v>
      </c>
      <c r="H43" s="12">
        <f>'Data Sheet'!G78</f>
        <v>8802</v>
      </c>
      <c r="I43" s="12">
        <f>'Data Sheet'!H78</f>
        <v>9068</v>
      </c>
      <c r="J43" s="12">
        <f>'Data Sheet'!I78</f>
        <v>9574</v>
      </c>
      <c r="K43" s="12">
        <f>'Data Sheet'!J78</f>
        <v>10486</v>
      </c>
      <c r="L43" s="12">
        <f>'Data Sheet'!K78</f>
        <v>11315</v>
      </c>
      <c r="M43" s="46">
        <f t="shared" si="32"/>
        <v>11623.9275191208</v>
      </c>
      <c r="N43" s="46">
        <f t="shared" si="33"/>
        <v>12254.425335570246</v>
      </c>
      <c r="O43" s="46">
        <f t="shared" si="34"/>
        <v>12874.639319076588</v>
      </c>
      <c r="P43" s="46">
        <f t="shared" si="35"/>
        <v>13600.847888191187</v>
      </c>
      <c r="Q43" s="46">
        <f t="shared" si="36"/>
        <v>14246.896448217623</v>
      </c>
    </row>
    <row r="44" spans="1:18" x14ac:dyDescent="0.3">
      <c r="B44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46"/>
      <c r="N44" s="46"/>
      <c r="O44" s="46"/>
      <c r="P44" s="46"/>
      <c r="Q44" s="46"/>
    </row>
    <row r="45" spans="1:18" x14ac:dyDescent="0.3">
      <c r="B45" s="27" t="s">
        <v>78</v>
      </c>
      <c r="C45" s="28">
        <f>SUM(C39:C43)</f>
        <v>14793</v>
      </c>
      <c r="D45" s="28">
        <f t="shared" ref="D45:L45" si="37">SUM(D39:D43)</f>
        <v>15706</v>
      </c>
      <c r="E45" s="28">
        <f t="shared" si="37"/>
        <v>17862</v>
      </c>
      <c r="F45" s="28">
        <f t="shared" si="37"/>
        <v>18629</v>
      </c>
      <c r="G45" s="28">
        <f t="shared" si="37"/>
        <v>20153</v>
      </c>
      <c r="H45" s="28">
        <f t="shared" si="37"/>
        <v>68740</v>
      </c>
      <c r="I45" s="28">
        <f t="shared" si="37"/>
        <v>70506</v>
      </c>
      <c r="J45" s="28">
        <f t="shared" si="37"/>
        <v>73077</v>
      </c>
      <c r="K45" s="28">
        <f t="shared" si="37"/>
        <v>78489</v>
      </c>
      <c r="L45" s="28">
        <f t="shared" si="37"/>
        <v>79863</v>
      </c>
      <c r="M45" s="28">
        <f t="shared" si="32"/>
        <v>95958.681842704304</v>
      </c>
      <c r="N45" s="28">
        <f t="shared" ref="N45" si="38">FORECAST($M$3,D45:M45,$C$3:$L$3)</f>
        <v>107768.23301183642</v>
      </c>
      <c r="O45" s="28">
        <f t="shared" ref="O45" si="39">FORECAST($M$3,E45:N45,$C$3:$L$3)</f>
        <v>119128.74663442606</v>
      </c>
      <c r="P45" s="28">
        <f t="shared" ref="P45" si="40">FORECAST($M$3,F45:O45,$C$3:$L$3)</f>
        <v>129471.87535025971</v>
      </c>
      <c r="Q45" s="28">
        <f t="shared" ref="Q45" si="41">FORECAST($M$3,G45:P45,$C$3:$L$3)</f>
        <v>137407.88341651321</v>
      </c>
    </row>
    <row r="46" spans="1:18" x14ac:dyDescent="0.3">
      <c r="B4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46"/>
      <c r="N46" s="46"/>
      <c r="O46" s="46"/>
      <c r="P46" s="46"/>
      <c r="Q46" s="46"/>
    </row>
    <row r="47" spans="1:18" x14ac:dyDescent="0.3">
      <c r="B47" s="40" t="str">
        <f>'Data Sheet'!A64</f>
        <v>Net Block</v>
      </c>
      <c r="C47" s="12">
        <f>'Data Sheet'!B64</f>
        <v>3258</v>
      </c>
      <c r="D47" s="12">
        <f>'Data Sheet'!C64</f>
        <v>4419</v>
      </c>
      <c r="E47" s="12">
        <f>'Data Sheet'!D64</f>
        <v>4528</v>
      </c>
      <c r="F47" s="12">
        <f>'Data Sheet'!E64</f>
        <v>4715</v>
      </c>
      <c r="G47" s="12">
        <f>'Data Sheet'!F64</f>
        <v>5479</v>
      </c>
      <c r="H47" s="12">
        <f>'Data Sheet'!G64</f>
        <v>51443</v>
      </c>
      <c r="I47" s="12">
        <f>'Data Sheet'!H64</f>
        <v>51473</v>
      </c>
      <c r="J47" s="12">
        <f>'Data Sheet'!I64</f>
        <v>52678</v>
      </c>
      <c r="K47" s="12">
        <f>'Data Sheet'!J64</f>
        <v>53744</v>
      </c>
      <c r="L47" s="12">
        <f>'Data Sheet'!K64</f>
        <v>54335</v>
      </c>
      <c r="M47" s="46">
        <f t="shared" si="32"/>
        <v>69669.497325464385</v>
      </c>
      <c r="N47" s="46">
        <f t="shared" si="33"/>
        <v>79337.347176359035</v>
      </c>
      <c r="O47" s="46">
        <f t="shared" si="34"/>
        <v>88749.097930743708</v>
      </c>
      <c r="P47" s="46">
        <f t="shared" si="35"/>
        <v>96960.888142149081</v>
      </c>
      <c r="Q47" s="46">
        <f t="shared" si="36"/>
        <v>102894.61335257336</v>
      </c>
    </row>
    <row r="48" spans="1:18" x14ac:dyDescent="0.3">
      <c r="B48" s="40" t="str">
        <f>'Data Sheet'!A65</f>
        <v>Capital Work in Progress</v>
      </c>
      <c r="C48" s="12">
        <f>'Data Sheet'!B65</f>
        <v>408</v>
      </c>
      <c r="D48" s="12">
        <f>'Data Sheet'!C65</f>
        <v>229</v>
      </c>
      <c r="E48" s="12">
        <f>'Data Sheet'!D65</f>
        <v>461</v>
      </c>
      <c r="F48" s="12">
        <f>'Data Sheet'!E65</f>
        <v>406</v>
      </c>
      <c r="G48" s="12">
        <f>'Data Sheet'!F65</f>
        <v>597</v>
      </c>
      <c r="H48" s="12">
        <f>'Data Sheet'!G65</f>
        <v>745</v>
      </c>
      <c r="I48" s="12">
        <f>'Data Sheet'!H65</f>
        <v>1313</v>
      </c>
      <c r="J48" s="12">
        <f>'Data Sheet'!I65</f>
        <v>1132</v>
      </c>
      <c r="K48" s="12">
        <f>'Data Sheet'!J65</f>
        <v>1025</v>
      </c>
      <c r="L48" s="12">
        <f>'Data Sheet'!K65</f>
        <v>1009</v>
      </c>
      <c r="M48" s="46">
        <f t="shared" si="32"/>
        <v>1305.9453863141662</v>
      </c>
      <c r="N48" s="46">
        <f t="shared" si="33"/>
        <v>1448.8010328762412</v>
      </c>
      <c r="O48" s="46">
        <f t="shared" si="34"/>
        <v>1541.2439767365431</v>
      </c>
      <c r="P48" s="46">
        <f t="shared" si="35"/>
        <v>1651.0839676658925</v>
      </c>
      <c r="Q48" s="46">
        <f t="shared" si="36"/>
        <v>1718.2432578339231</v>
      </c>
    </row>
    <row r="49" spans="1:17" x14ac:dyDescent="0.3">
      <c r="B49" s="40" t="str">
        <f>'Data Sheet'!A66</f>
        <v>Investments</v>
      </c>
      <c r="C49" s="12">
        <f>'Data Sheet'!B66</f>
        <v>2592</v>
      </c>
      <c r="D49" s="12">
        <f>'Data Sheet'!C66</f>
        <v>3794</v>
      </c>
      <c r="E49" s="12">
        <f>'Data Sheet'!D66</f>
        <v>2873</v>
      </c>
      <c r="F49" s="12">
        <f>'Data Sheet'!E66</f>
        <v>2716</v>
      </c>
      <c r="G49" s="12">
        <f>'Data Sheet'!F66</f>
        <v>1255</v>
      </c>
      <c r="H49" s="12">
        <f>'Data Sheet'!G66</f>
        <v>2709</v>
      </c>
      <c r="I49" s="12">
        <f>'Data Sheet'!H66</f>
        <v>3521</v>
      </c>
      <c r="J49" s="12">
        <f>'Data Sheet'!I66</f>
        <v>2882</v>
      </c>
      <c r="K49" s="12">
        <f>'Data Sheet'!J66</f>
        <v>4625</v>
      </c>
      <c r="L49" s="12">
        <f>'Data Sheet'!K66</f>
        <v>3810</v>
      </c>
      <c r="M49" s="46">
        <f t="shared" si="32"/>
        <v>3767.4403951996319</v>
      </c>
      <c r="N49" s="46">
        <f t="shared" si="33"/>
        <v>3913.925914198182</v>
      </c>
      <c r="O49" s="46">
        <f t="shared" si="34"/>
        <v>4360.9705785606129</v>
      </c>
      <c r="P49" s="46">
        <f t="shared" si="35"/>
        <v>4733.2155297663085</v>
      </c>
      <c r="Q49" s="46">
        <f t="shared" si="36"/>
        <v>5113.4751745757385</v>
      </c>
    </row>
    <row r="50" spans="1:17" x14ac:dyDescent="0.3">
      <c r="B50" s="40" t="str">
        <f>'Data Sheet'!A67</f>
        <v>Other Assets</v>
      </c>
      <c r="C50" s="12">
        <f>'Data Sheet'!B67-C56</f>
        <v>1536</v>
      </c>
      <c r="D50" s="12">
        <f>'Data Sheet'!C67-D56</f>
        <v>1810</v>
      </c>
      <c r="E50" s="12">
        <f>'Data Sheet'!D67-E56</f>
        <v>2692</v>
      </c>
      <c r="F50" s="12">
        <f>'Data Sheet'!E67-F56</f>
        <v>2645</v>
      </c>
      <c r="G50" s="12">
        <f>'Data Sheet'!F67-G56</f>
        <v>3793</v>
      </c>
      <c r="H50" s="12">
        <f>'Data Sheet'!G67-H56</f>
        <v>4035</v>
      </c>
      <c r="I50" s="12">
        <f>'Data Sheet'!H67-I56</f>
        <v>4021</v>
      </c>
      <c r="J50" s="12">
        <f>'Data Sheet'!I67-J56</f>
        <v>4377</v>
      </c>
      <c r="K50" s="12">
        <f>'Data Sheet'!J67-K56</f>
        <v>4517</v>
      </c>
      <c r="L50" s="12">
        <f>'Data Sheet'!K67-L56</f>
        <v>4921</v>
      </c>
      <c r="M50" s="46">
        <f t="shared" si="32"/>
        <v>5508.2108731863264</v>
      </c>
      <c r="N50" s="46">
        <f t="shared" si="33"/>
        <v>5831.2633242201191</v>
      </c>
      <c r="O50" s="46">
        <f t="shared" si="34"/>
        <v>6091.8314550881332</v>
      </c>
      <c r="P50" s="46">
        <f t="shared" si="35"/>
        <v>6423.7263861459651</v>
      </c>
      <c r="Q50" s="46">
        <f t="shared" si="36"/>
        <v>6649.2377900651736</v>
      </c>
    </row>
    <row r="51" spans="1:17" x14ac:dyDescent="0.3">
      <c r="B51" s="30" t="s">
        <v>76</v>
      </c>
      <c r="C51" s="31">
        <f t="shared" ref="C51:L51" si="42">SUM(C47:C50)</f>
        <v>7794</v>
      </c>
      <c r="D51" s="31">
        <f t="shared" si="42"/>
        <v>10252</v>
      </c>
      <c r="E51" s="31">
        <f t="shared" si="42"/>
        <v>10554</v>
      </c>
      <c r="F51" s="31">
        <f t="shared" si="42"/>
        <v>10482</v>
      </c>
      <c r="G51" s="31">
        <f t="shared" si="42"/>
        <v>11124</v>
      </c>
      <c r="H51" s="31">
        <f t="shared" si="42"/>
        <v>58932</v>
      </c>
      <c r="I51" s="31">
        <f t="shared" si="42"/>
        <v>60328</v>
      </c>
      <c r="J51" s="31">
        <f t="shared" si="42"/>
        <v>61069</v>
      </c>
      <c r="K51" s="31">
        <f t="shared" si="42"/>
        <v>63911</v>
      </c>
      <c r="L51" s="31">
        <f t="shared" si="42"/>
        <v>64075</v>
      </c>
      <c r="M51" s="50">
        <f t="shared" si="32"/>
        <v>80251.093980164616</v>
      </c>
      <c r="N51" s="50">
        <f t="shared" si="33"/>
        <v>90531.337447653525</v>
      </c>
      <c r="O51" s="50">
        <f t="shared" si="34"/>
        <v>100743.14394112886</v>
      </c>
      <c r="P51" s="50">
        <f t="shared" si="35"/>
        <v>109768.91402572731</v>
      </c>
      <c r="Q51" s="50">
        <f t="shared" si="36"/>
        <v>116375.56957504828</v>
      </c>
    </row>
    <row r="52" spans="1:17" x14ac:dyDescent="0.3"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46"/>
      <c r="N52" s="46"/>
      <c r="O52" s="46"/>
      <c r="P52" s="46"/>
      <c r="Q52" s="46"/>
    </row>
    <row r="53" spans="1:17" x14ac:dyDescent="0.3">
      <c r="B53" s="26" t="str" cm="1">
        <f t="array" ref="B53:B55">'Data Sheet'!A69:A71</f>
        <v>Receivables</v>
      </c>
      <c r="C53" s="12">
        <f>'Data Sheet'!B69</f>
        <v>1264</v>
      </c>
      <c r="D53" s="12">
        <f>'Data Sheet'!C69</f>
        <v>1085</v>
      </c>
      <c r="E53" s="12">
        <f>'Data Sheet'!D69</f>
        <v>1310</v>
      </c>
      <c r="F53" s="12">
        <f>'Data Sheet'!E69</f>
        <v>1816</v>
      </c>
      <c r="G53" s="12">
        <f>'Data Sheet'!F69</f>
        <v>1149</v>
      </c>
      <c r="H53" s="12">
        <f>'Data Sheet'!G69</f>
        <v>1758</v>
      </c>
      <c r="I53" s="12">
        <f>'Data Sheet'!H69</f>
        <v>2236</v>
      </c>
      <c r="J53" s="12">
        <f>'Data Sheet'!I69</f>
        <v>3079</v>
      </c>
      <c r="K53" s="12">
        <f>'Data Sheet'!J69</f>
        <v>2997</v>
      </c>
      <c r="L53" s="12">
        <f>'Data Sheet'!K69</f>
        <v>3819</v>
      </c>
      <c r="M53" s="46">
        <f t="shared" si="32"/>
        <v>3620.9140673249967</v>
      </c>
      <c r="N53" s="46">
        <f t="shared" si="33"/>
        <v>4038.9008892536585</v>
      </c>
      <c r="O53" s="46">
        <f t="shared" si="34"/>
        <v>4419.0968229166028</v>
      </c>
      <c r="P53" s="46">
        <f t="shared" si="35"/>
        <v>4814.5097066966046</v>
      </c>
      <c r="Q53" s="46">
        <f t="shared" si="36"/>
        <v>5295.6075531296083</v>
      </c>
    </row>
    <row r="54" spans="1:17" x14ac:dyDescent="0.3">
      <c r="B54" s="9" t="str">
        <v>Inventory</v>
      </c>
      <c r="C54" s="12">
        <f>'Data Sheet'!B70</f>
        <v>2726</v>
      </c>
      <c r="D54" s="12">
        <f>'Data Sheet'!C70</f>
        <v>2541</v>
      </c>
      <c r="E54" s="12">
        <f>'Data Sheet'!D70</f>
        <v>2513</v>
      </c>
      <c r="F54" s="12">
        <f>'Data Sheet'!E70</f>
        <v>2574</v>
      </c>
      <c r="G54" s="12">
        <f>'Data Sheet'!F70</f>
        <v>2767</v>
      </c>
      <c r="H54" s="12">
        <f>'Data Sheet'!G70</f>
        <v>3579</v>
      </c>
      <c r="I54" s="12">
        <f>'Data Sheet'!H70</f>
        <v>4096</v>
      </c>
      <c r="J54" s="12">
        <f>'Data Sheet'!I70</f>
        <v>4251</v>
      </c>
      <c r="K54" s="12">
        <f>'Data Sheet'!J70</f>
        <v>4022</v>
      </c>
      <c r="L54" s="12">
        <f>'Data Sheet'!K70</f>
        <v>4415</v>
      </c>
      <c r="M54" s="46">
        <f t="shared" si="32"/>
        <v>4669.5077338648771</v>
      </c>
      <c r="N54" s="46">
        <f t="shared" si="33"/>
        <v>5032.0363855455653</v>
      </c>
      <c r="O54" s="46">
        <f t="shared" si="34"/>
        <v>5360.5731601513908</v>
      </c>
      <c r="P54" s="46">
        <f t="shared" si="35"/>
        <v>5646.9727268268944</v>
      </c>
      <c r="Q54" s="46">
        <f t="shared" si="36"/>
        <v>5874.3972963649285</v>
      </c>
    </row>
    <row r="55" spans="1:17" x14ac:dyDescent="0.3">
      <c r="B55" s="9" t="str">
        <v>Cash &amp; Bank</v>
      </c>
      <c r="C55" s="12">
        <f>'Data Sheet'!B71</f>
        <v>3009</v>
      </c>
      <c r="D55" s="12">
        <f>'Data Sheet'!C71</f>
        <v>1828</v>
      </c>
      <c r="E55" s="12">
        <f>'Data Sheet'!D71</f>
        <v>3485</v>
      </c>
      <c r="F55" s="12">
        <f>'Data Sheet'!E71</f>
        <v>3757</v>
      </c>
      <c r="G55" s="12">
        <f>'Data Sheet'!F71</f>
        <v>5113</v>
      </c>
      <c r="H55" s="12">
        <f>'Data Sheet'!G71</f>
        <v>4471</v>
      </c>
      <c r="I55" s="12">
        <f>'Data Sheet'!H71</f>
        <v>3846</v>
      </c>
      <c r="J55" s="12">
        <f>'Data Sheet'!I71</f>
        <v>4678</v>
      </c>
      <c r="K55" s="12">
        <f>'Data Sheet'!J71</f>
        <v>7559</v>
      </c>
      <c r="L55" s="12">
        <f>'Data Sheet'!K71</f>
        <v>7554</v>
      </c>
      <c r="M55" s="46">
        <f t="shared" si="32"/>
        <v>7417.1660613497806</v>
      </c>
      <c r="N55" s="46">
        <f t="shared" si="33"/>
        <v>8165.9582893836341</v>
      </c>
      <c r="O55" s="46">
        <f t="shared" si="34"/>
        <v>8605.9327102292737</v>
      </c>
      <c r="P55" s="46">
        <f t="shared" si="35"/>
        <v>9241.4788910090138</v>
      </c>
      <c r="Q55" s="46">
        <f t="shared" si="36"/>
        <v>9862.3089919703416</v>
      </c>
    </row>
    <row r="56" spans="1:17" x14ac:dyDescent="0.3">
      <c r="B56" s="32" t="s">
        <v>77</v>
      </c>
      <c r="C56" s="31">
        <f>SUM(C53:C55)</f>
        <v>6999</v>
      </c>
      <c r="D56" s="31">
        <f t="shared" ref="D56:L56" si="43">SUM(D53:D55)</f>
        <v>5454</v>
      </c>
      <c r="E56" s="31">
        <f t="shared" si="43"/>
        <v>7308</v>
      </c>
      <c r="F56" s="31">
        <f t="shared" si="43"/>
        <v>8147</v>
      </c>
      <c r="G56" s="31">
        <f t="shared" si="43"/>
        <v>9029</v>
      </c>
      <c r="H56" s="31">
        <f t="shared" si="43"/>
        <v>9808</v>
      </c>
      <c r="I56" s="31">
        <f t="shared" si="43"/>
        <v>10178</v>
      </c>
      <c r="J56" s="31">
        <f t="shared" si="43"/>
        <v>12008</v>
      </c>
      <c r="K56" s="31">
        <f t="shared" si="43"/>
        <v>14578</v>
      </c>
      <c r="L56" s="31">
        <f t="shared" si="43"/>
        <v>15788</v>
      </c>
      <c r="M56" s="50">
        <f t="shared" si="32"/>
        <v>15707.587862539644</v>
      </c>
      <c r="N56" s="50">
        <f t="shared" si="33"/>
        <v>17236.895564182865</v>
      </c>
      <c r="O56" s="50">
        <f t="shared" si="34"/>
        <v>18385.60269329726</v>
      </c>
      <c r="P56" s="50">
        <f t="shared" si="35"/>
        <v>19702.961324532516</v>
      </c>
      <c r="Q56" s="50">
        <f t="shared" si="36"/>
        <v>21032.313841464871</v>
      </c>
    </row>
    <row r="57" spans="1:17" x14ac:dyDescent="0.3"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46"/>
      <c r="N57" s="46"/>
      <c r="O57" s="46"/>
      <c r="P57" s="46"/>
      <c r="Q57" s="46"/>
    </row>
    <row r="58" spans="1:17" x14ac:dyDescent="0.3">
      <c r="B58" s="29" t="s">
        <v>79</v>
      </c>
      <c r="C58" s="28">
        <f>C51+C56</f>
        <v>14793</v>
      </c>
      <c r="D58" s="28">
        <f t="shared" ref="D58:L58" si="44">D51+D56</f>
        <v>15706</v>
      </c>
      <c r="E58" s="28">
        <f t="shared" si="44"/>
        <v>17862</v>
      </c>
      <c r="F58" s="28">
        <f t="shared" si="44"/>
        <v>18629</v>
      </c>
      <c r="G58" s="28">
        <f t="shared" si="44"/>
        <v>20153</v>
      </c>
      <c r="H58" s="28">
        <f t="shared" si="44"/>
        <v>68740</v>
      </c>
      <c r="I58" s="28">
        <f t="shared" si="44"/>
        <v>70506</v>
      </c>
      <c r="J58" s="28">
        <f t="shared" si="44"/>
        <v>73077</v>
      </c>
      <c r="K58" s="28">
        <f t="shared" si="44"/>
        <v>78489</v>
      </c>
      <c r="L58" s="28">
        <f t="shared" si="44"/>
        <v>79863</v>
      </c>
      <c r="M58" s="28">
        <f t="shared" si="32"/>
        <v>95958.681842704304</v>
      </c>
      <c r="N58" s="28">
        <f t="shared" si="33"/>
        <v>107768.23301183642</v>
      </c>
      <c r="O58" s="28">
        <f t="shared" si="34"/>
        <v>119128.74663442606</v>
      </c>
      <c r="P58" s="28">
        <f t="shared" si="35"/>
        <v>129471.87535025971</v>
      </c>
      <c r="Q58" s="28">
        <f t="shared" si="36"/>
        <v>137407.88341651321</v>
      </c>
    </row>
    <row r="60" spans="1:17" x14ac:dyDescent="0.3">
      <c r="B60" s="9" t="s">
        <v>80</v>
      </c>
      <c r="C60" t="b">
        <f>C58=C45</f>
        <v>1</v>
      </c>
      <c r="D60" t="b">
        <f t="shared" ref="D60:Q60" si="45">D58=D45</f>
        <v>1</v>
      </c>
      <c r="E60" t="b">
        <f t="shared" si="45"/>
        <v>1</v>
      </c>
      <c r="F60" t="b">
        <f t="shared" si="45"/>
        <v>1</v>
      </c>
      <c r="G60" t="b">
        <f t="shared" si="45"/>
        <v>1</v>
      </c>
      <c r="H60" t="b">
        <f t="shared" si="45"/>
        <v>1</v>
      </c>
      <c r="I60" t="b">
        <f t="shared" si="45"/>
        <v>1</v>
      </c>
      <c r="J60" t="b">
        <f t="shared" si="45"/>
        <v>1</v>
      </c>
      <c r="K60" t="b">
        <f t="shared" si="45"/>
        <v>1</v>
      </c>
      <c r="L60" t="b">
        <f t="shared" si="45"/>
        <v>1</v>
      </c>
      <c r="M60" t="b">
        <f t="shared" si="45"/>
        <v>1</v>
      </c>
      <c r="N60" t="b">
        <f t="shared" si="45"/>
        <v>1</v>
      </c>
      <c r="O60" t="b">
        <f t="shared" si="45"/>
        <v>1</v>
      </c>
      <c r="P60" t="b">
        <f t="shared" si="45"/>
        <v>1</v>
      </c>
      <c r="Q60" t="b">
        <f t="shared" si="45"/>
        <v>1</v>
      </c>
    </row>
    <row r="63" spans="1:17" x14ac:dyDescent="0.3">
      <c r="A63" t="s">
        <v>57</v>
      </c>
      <c r="B63" s="20" t="s">
        <v>81</v>
      </c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</row>
    <row r="65" spans="2:17" x14ac:dyDescent="0.3">
      <c r="B65" s="1"/>
      <c r="C65" s="42"/>
      <c r="D65" s="42"/>
      <c r="E65" s="42"/>
      <c r="F65" s="42"/>
      <c r="G65" s="42"/>
      <c r="H65" s="42"/>
      <c r="I65" s="42"/>
      <c r="J65" s="42"/>
      <c r="K65" s="42"/>
      <c r="L65" s="42"/>
    </row>
    <row r="66" spans="2:17" x14ac:dyDescent="0.3">
      <c r="B66" s="5" t="str">
        <f>'Data Sheet'!A87</f>
        <v>Profit from operations</v>
      </c>
      <c r="C66" s="12">
        <f>'Data Sheet'!B87</f>
        <v>6025</v>
      </c>
      <c r="D66" s="12">
        <f>'Data Sheet'!C87</f>
        <v>6512</v>
      </c>
      <c r="E66" s="12">
        <f>'Data Sheet'!D87</f>
        <v>7485</v>
      </c>
      <c r="F66" s="12">
        <f>'Data Sheet'!E87</f>
        <v>8909</v>
      </c>
      <c r="G66" s="12">
        <f>'Data Sheet'!F87</f>
        <v>9723</v>
      </c>
      <c r="H66" s="12">
        <f>'Data Sheet'!G87</f>
        <v>11672</v>
      </c>
      <c r="I66" s="12">
        <f>'Data Sheet'!H87</f>
        <v>12829</v>
      </c>
      <c r="J66" s="12">
        <f>'Data Sheet'!I87</f>
        <v>14089</v>
      </c>
      <c r="K66" s="12">
        <f>'Data Sheet'!J87</f>
        <v>14537</v>
      </c>
      <c r="L66" s="12">
        <f>'Data Sheet'!K87</f>
        <v>14942</v>
      </c>
      <c r="M66" s="12">
        <f t="shared" ref="M66" si="46">FORECAST($M$3,C66:L66,$C$3:$L$3)</f>
        <v>16777.071430674885</v>
      </c>
      <c r="N66" s="12">
        <f t="shared" ref="N66" si="47">FORECAST($M$3,D66:M66,$C$3:$L$3)</f>
        <v>17979.733357432677</v>
      </c>
      <c r="O66" s="12">
        <f t="shared" ref="O66" si="48">FORECAST($M$3,E66:N66,$C$3:$L$3)</f>
        <v>19076.556386059572</v>
      </c>
      <c r="P66" s="12">
        <f t="shared" ref="P66" si="49">FORECAST($M$3,F66:O66,$C$3:$L$3)</f>
        <v>20106.953394250595</v>
      </c>
      <c r="Q66" s="12">
        <f t="shared" ref="Q66" si="50">FORECAST($M$3,G66:P66,$C$3:$L$3)</f>
        <v>21156.413537510933</v>
      </c>
    </row>
    <row r="67" spans="2:17" x14ac:dyDescent="0.3">
      <c r="B67" s="5" t="str">
        <f>'Data Sheet'!A88</f>
        <v>Receivables</v>
      </c>
      <c r="C67" s="12">
        <f>'Data Sheet'!B88</f>
        <v>-257</v>
      </c>
      <c r="D67" s="12">
        <f>'Data Sheet'!C88</f>
        <v>173</v>
      </c>
      <c r="E67" s="12">
        <f>'Data Sheet'!D88</f>
        <v>0</v>
      </c>
      <c r="F67" s="12">
        <f>'Data Sheet'!E88</f>
        <v>0</v>
      </c>
      <c r="G67" s="12">
        <f>'Data Sheet'!F88</f>
        <v>0</v>
      </c>
      <c r="H67" s="12">
        <f>'Data Sheet'!G88</f>
        <v>0</v>
      </c>
      <c r="I67" s="12">
        <f>'Data Sheet'!H88</f>
        <v>0</v>
      </c>
      <c r="J67" s="12">
        <f>'Data Sheet'!I88</f>
        <v>0</v>
      </c>
      <c r="K67" s="12">
        <f>'Data Sheet'!J88</f>
        <v>0</v>
      </c>
      <c r="L67" s="12">
        <f>'Data Sheet'!K88</f>
        <v>0</v>
      </c>
      <c r="M67" s="12">
        <f t="shared" ref="M67:M75" si="51">FORECAST($M$3,C67:L67,$C$3:$L$3)</f>
        <v>28.318778130334408</v>
      </c>
      <c r="N67" s="12">
        <f t="shared" ref="N67:N75" si="52">FORECAST($M$3,D67:M67,$C$3:$L$3)</f>
        <v>-23.259855551750206</v>
      </c>
      <c r="O67" s="12">
        <f t="shared" ref="O67:O75" si="53">FORECAST($M$3,E67:N67,$C$3:$L$3)</f>
        <v>0.13702881046895676</v>
      </c>
      <c r="P67" s="12">
        <f t="shared" ref="P67:P75" si="54">FORECAST($M$3,F67:O67,$C$3:$L$3)</f>
        <v>-0.15034353090379504</v>
      </c>
      <c r="Q67" s="12">
        <f t="shared" ref="Q67:Q75" si="55">FORECAST($M$3,G67:P67,$C$3:$L$3)</f>
        <v>-0.55237951003342189</v>
      </c>
    </row>
    <row r="68" spans="2:17" x14ac:dyDescent="0.3">
      <c r="B68" s="5" t="str">
        <f>'Data Sheet'!A89</f>
        <v>Inventory</v>
      </c>
      <c r="C68" s="12">
        <f>'Data Sheet'!B89</f>
        <v>89</v>
      </c>
      <c r="D68" s="12">
        <f>'Data Sheet'!C89</f>
        <v>37</v>
      </c>
      <c r="E68" s="12">
        <f>'Data Sheet'!D89</f>
        <v>-146</v>
      </c>
      <c r="F68" s="12">
        <f>'Data Sheet'!E89</f>
        <v>-195</v>
      </c>
      <c r="G68" s="12">
        <f>'Data Sheet'!F89</f>
        <v>-331</v>
      </c>
      <c r="H68" s="12">
        <f>'Data Sheet'!G89</f>
        <v>-543</v>
      </c>
      <c r="I68" s="12">
        <f>'Data Sheet'!H89</f>
        <v>-758</v>
      </c>
      <c r="J68" s="12">
        <f>'Data Sheet'!I89</f>
        <v>-339</v>
      </c>
      <c r="K68" s="12">
        <f>'Data Sheet'!J89</f>
        <v>74</v>
      </c>
      <c r="L68" s="12">
        <f>'Data Sheet'!K89</f>
        <v>-584</v>
      </c>
      <c r="M68" s="12">
        <f t="shared" si="51"/>
        <v>-558.34139167798457</v>
      </c>
      <c r="N68" s="12">
        <f t="shared" si="52"/>
        <v>-578.30642395240557</v>
      </c>
      <c r="O68" s="12">
        <f t="shared" si="53"/>
        <v>-576.83443560846081</v>
      </c>
      <c r="P68" s="12">
        <f t="shared" si="54"/>
        <v>-582.52634469306895</v>
      </c>
      <c r="Q68" s="12">
        <f t="shared" si="55"/>
        <v>-574.92722575961307</v>
      </c>
    </row>
    <row r="69" spans="2:17" x14ac:dyDescent="0.3">
      <c r="B69" s="5" t="str">
        <f>'Data Sheet'!A90</f>
        <v>Payables</v>
      </c>
      <c r="C69" s="12">
        <f>'Data Sheet'!B90</f>
        <v>164</v>
      </c>
      <c r="D69" s="12">
        <f>'Data Sheet'!C90</f>
        <v>501</v>
      </c>
      <c r="E69" s="12">
        <f>'Data Sheet'!D90</f>
        <v>0</v>
      </c>
      <c r="F69" s="12">
        <f>'Data Sheet'!E90</f>
        <v>0</v>
      </c>
      <c r="G69" s="12">
        <f>'Data Sheet'!F90</f>
        <v>0</v>
      </c>
      <c r="H69" s="12">
        <f>'Data Sheet'!G90</f>
        <v>0</v>
      </c>
      <c r="I69" s="12">
        <f>'Data Sheet'!H90</f>
        <v>0</v>
      </c>
      <c r="J69" s="12">
        <f>'Data Sheet'!I90</f>
        <v>0</v>
      </c>
      <c r="K69" s="12">
        <f>'Data Sheet'!J90</f>
        <v>0</v>
      </c>
      <c r="L69" s="12">
        <f>'Data Sheet'!K90</f>
        <v>0</v>
      </c>
      <c r="M69" s="12">
        <f t="shared" si="51"/>
        <v>-99.575822934365533</v>
      </c>
      <c r="N69" s="12">
        <f t="shared" si="52"/>
        <v>-139.9937400621593</v>
      </c>
      <c r="O69" s="12">
        <f t="shared" si="53"/>
        <v>-89.194278684108895</v>
      </c>
      <c r="P69" s="12">
        <f t="shared" si="54"/>
        <v>-108.89417110132331</v>
      </c>
      <c r="Q69" s="12">
        <f t="shared" si="55"/>
        <v>-130.52469951058242</v>
      </c>
    </row>
    <row r="70" spans="2:17" x14ac:dyDescent="0.3">
      <c r="B70" s="5" t="str">
        <f>'Data Sheet'!A91</f>
        <v>Loans Advances</v>
      </c>
      <c r="C70" s="12">
        <f>'Data Sheet'!B91</f>
        <v>0</v>
      </c>
      <c r="D70" s="12">
        <f>'Data Sheet'!C91</f>
        <v>0</v>
      </c>
      <c r="E70" s="12">
        <f>'Data Sheet'!D91</f>
        <v>0</v>
      </c>
      <c r="F70" s="12">
        <f>'Data Sheet'!E91</f>
        <v>0</v>
      </c>
      <c r="G70" s="12">
        <f>'Data Sheet'!F91</f>
        <v>0</v>
      </c>
      <c r="H70" s="12">
        <f>'Data Sheet'!G91</f>
        <v>0</v>
      </c>
      <c r="I70" s="12">
        <f>'Data Sheet'!H91</f>
        <v>0</v>
      </c>
      <c r="J70" s="12">
        <f>'Data Sheet'!I91</f>
        <v>0</v>
      </c>
      <c r="K70" s="12">
        <f>'Data Sheet'!J91</f>
        <v>0</v>
      </c>
      <c r="L70" s="12">
        <f>'Data Sheet'!K91</f>
        <v>0</v>
      </c>
      <c r="M70" s="12">
        <f t="shared" si="51"/>
        <v>0</v>
      </c>
      <c r="N70" s="12">
        <f t="shared" si="52"/>
        <v>0</v>
      </c>
      <c r="O70" s="12">
        <f t="shared" si="53"/>
        <v>0</v>
      </c>
      <c r="P70" s="12">
        <f t="shared" si="54"/>
        <v>0</v>
      </c>
      <c r="Q70" s="12">
        <f t="shared" si="55"/>
        <v>0</v>
      </c>
    </row>
    <row r="71" spans="2:17" x14ac:dyDescent="0.3">
      <c r="B71" s="5" t="str">
        <f>'Data Sheet'!A92</f>
        <v>Operating Deposits</v>
      </c>
      <c r="C71" s="12">
        <f>'Data Sheet'!B92</f>
        <v>0</v>
      </c>
      <c r="D71" s="12">
        <f>'Data Sheet'!C92</f>
        <v>-46</v>
      </c>
      <c r="E71" s="12">
        <f>'Data Sheet'!D92</f>
        <v>0</v>
      </c>
      <c r="F71" s="12">
        <f>'Data Sheet'!E92</f>
        <v>0</v>
      </c>
      <c r="G71" s="12">
        <f>'Data Sheet'!F92</f>
        <v>0</v>
      </c>
      <c r="H71" s="12">
        <f>'Data Sheet'!G92</f>
        <v>0</v>
      </c>
      <c r="I71" s="12">
        <f>'Data Sheet'!H92</f>
        <v>0</v>
      </c>
      <c r="J71" s="12">
        <f>'Data Sheet'!I92</f>
        <v>0</v>
      </c>
      <c r="K71" s="12">
        <f>'Data Sheet'!J92</f>
        <v>0</v>
      </c>
      <c r="L71" s="12">
        <f>'Data Sheet'!K92</f>
        <v>0</v>
      </c>
      <c r="M71" s="12">
        <f t="shared" si="51"/>
        <v>6.1322131275246932</v>
      </c>
      <c r="N71" s="12">
        <f t="shared" si="52"/>
        <v>11.649525837351803</v>
      </c>
      <c r="O71" s="12">
        <f t="shared" si="53"/>
        <v>6.7041794783735327</v>
      </c>
      <c r="P71" s="12">
        <f t="shared" si="54"/>
        <v>8.2001481735197359</v>
      </c>
      <c r="Q71" s="12">
        <f t="shared" si="55"/>
        <v>9.8468783524225216</v>
      </c>
    </row>
    <row r="72" spans="2:17" x14ac:dyDescent="0.3">
      <c r="B72" s="5" t="str">
        <f>'Data Sheet'!A93</f>
        <v>Other WC items</v>
      </c>
      <c r="C72" s="12">
        <f>'Data Sheet'!B93</f>
        <v>-77</v>
      </c>
      <c r="D72" s="12">
        <f>'Data Sheet'!C93</f>
        <v>-99</v>
      </c>
      <c r="E72" s="12">
        <f>'Data Sheet'!D93</f>
        <v>982</v>
      </c>
      <c r="F72" s="12">
        <f>'Data Sheet'!E93</f>
        <v>-147</v>
      </c>
      <c r="G72" s="12">
        <f>'Data Sheet'!F93</f>
        <v>742</v>
      </c>
      <c r="H72" s="12">
        <f>'Data Sheet'!G93</f>
        <v>442</v>
      </c>
      <c r="I72" s="12">
        <f>'Data Sheet'!H93</f>
        <v>-242</v>
      </c>
      <c r="J72" s="12">
        <f>'Data Sheet'!I93</f>
        <v>-621</v>
      </c>
      <c r="K72" s="12">
        <f>'Data Sheet'!J93</f>
        <v>1239</v>
      </c>
      <c r="L72" s="12">
        <f>'Data Sheet'!K93</f>
        <v>-204</v>
      </c>
      <c r="M72" s="12">
        <f t="shared" si="51"/>
        <v>189.08468788914325</v>
      </c>
      <c r="N72" s="12">
        <f t="shared" si="52"/>
        <v>109.5977822918062</v>
      </c>
      <c r="O72" s="12">
        <f t="shared" si="53"/>
        <v>-24.955776662880453</v>
      </c>
      <c r="P72" s="12">
        <f t="shared" si="54"/>
        <v>60.961080289122037</v>
      </c>
      <c r="Q72" s="12">
        <f t="shared" si="55"/>
        <v>-52.519533669024895</v>
      </c>
    </row>
    <row r="73" spans="2:17" x14ac:dyDescent="0.3">
      <c r="B73" s="5" t="str">
        <f>'Data Sheet'!A95</f>
        <v>Direct taxes</v>
      </c>
      <c r="C73" s="12">
        <f>'Data Sheet'!B95</f>
        <v>-1765</v>
      </c>
      <c r="D73" s="12">
        <f>'Data Sheet'!C95</f>
        <v>-1859</v>
      </c>
      <c r="E73" s="12">
        <f>'Data Sheet'!D95</f>
        <v>-2264</v>
      </c>
      <c r="F73" s="12">
        <f>'Data Sheet'!E95</f>
        <v>-2767</v>
      </c>
      <c r="G73" s="12">
        <f>'Data Sheet'!F95</f>
        <v>-2505</v>
      </c>
      <c r="H73" s="12">
        <f>'Data Sheet'!G95</f>
        <v>-2407</v>
      </c>
      <c r="I73" s="12">
        <f>'Data Sheet'!H95</f>
        <v>-2784</v>
      </c>
      <c r="J73" s="12">
        <f>'Data Sheet'!I95</f>
        <v>-3138</v>
      </c>
      <c r="K73" s="12">
        <f>'Data Sheet'!J95</f>
        <v>-381</v>
      </c>
      <c r="L73" s="12">
        <f>'Data Sheet'!K95</f>
        <v>-2268</v>
      </c>
      <c r="M73" s="12">
        <f t="shared" si="51"/>
        <v>-2163.6816608798154</v>
      </c>
      <c r="N73" s="12">
        <f t="shared" si="52"/>
        <v>-2024.2903119799157</v>
      </c>
      <c r="O73" s="12">
        <f t="shared" si="53"/>
        <v>-1827.3117623444341</v>
      </c>
      <c r="P73" s="12">
        <f t="shared" si="54"/>
        <v>-1648.4314302491111</v>
      </c>
      <c r="Q73" s="12">
        <f t="shared" si="55"/>
        <v>-1561.1232096058411</v>
      </c>
    </row>
    <row r="74" spans="2:17" x14ac:dyDescent="0.3">
      <c r="B74" s="5" t="str">
        <f>'Data Sheet'!A96</f>
        <v>Other operating items</v>
      </c>
      <c r="C74" s="12">
        <f>'Data Sheet'!B96</f>
        <v>-8</v>
      </c>
      <c r="D74" s="12">
        <f>'Data Sheet'!C96</f>
        <v>-21</v>
      </c>
      <c r="E74" s="12">
        <f>'Data Sheet'!D96</f>
        <v>0</v>
      </c>
      <c r="F74" s="12">
        <f>'Data Sheet'!E96</f>
        <v>0</v>
      </c>
      <c r="G74" s="12">
        <f>'Data Sheet'!F96</f>
        <v>0</v>
      </c>
      <c r="H74" s="12">
        <f>'Data Sheet'!G96</f>
        <v>0</v>
      </c>
      <c r="I74" s="12">
        <f>'Data Sheet'!H96</f>
        <v>0</v>
      </c>
      <c r="J74" s="12">
        <f>'Data Sheet'!I96</f>
        <v>0</v>
      </c>
      <c r="K74" s="12">
        <f>'Data Sheet'!J96</f>
        <v>0</v>
      </c>
      <c r="L74" s="12">
        <f>'Data Sheet'!K96</f>
        <v>0</v>
      </c>
      <c r="M74" s="12">
        <f t="shared" si="51"/>
        <v>4.3989043790989513</v>
      </c>
      <c r="N74" s="12">
        <f t="shared" si="52"/>
        <v>5.9580280713955744</v>
      </c>
      <c r="O74" s="12">
        <f t="shared" si="53"/>
        <v>3.8497265813824697</v>
      </c>
      <c r="P74" s="12">
        <f t="shared" si="54"/>
        <v>4.6988562295097864</v>
      </c>
      <c r="Q74" s="12">
        <f t="shared" si="55"/>
        <v>5.6308921035429478</v>
      </c>
    </row>
    <row r="75" spans="2:17" x14ac:dyDescent="0.3">
      <c r="B75" s="5" t="str">
        <f>'Data Sheet'!A97</f>
        <v>Exceptional CF items</v>
      </c>
      <c r="C75" s="12">
        <f>'Data Sheet'!B97</f>
        <v>0</v>
      </c>
      <c r="D75" s="12">
        <f>'Data Sheet'!C97</f>
        <v>-13</v>
      </c>
      <c r="E75" s="12">
        <f>'Data Sheet'!D97</f>
        <v>2</v>
      </c>
      <c r="F75" s="12">
        <f>'Data Sheet'!E97</f>
        <v>0</v>
      </c>
      <c r="G75" s="12">
        <f>'Data Sheet'!F97</f>
        <v>-6</v>
      </c>
      <c r="H75" s="12">
        <f>'Data Sheet'!G97</f>
        <v>-1</v>
      </c>
      <c r="I75" s="12">
        <f>'Data Sheet'!H97</f>
        <v>3</v>
      </c>
      <c r="J75" s="12">
        <f>'Data Sheet'!I97</f>
        <v>0</v>
      </c>
      <c r="K75" s="12">
        <f>'Data Sheet'!J97</f>
        <v>0</v>
      </c>
      <c r="L75" s="12">
        <f>'Data Sheet'!K97</f>
        <v>0</v>
      </c>
      <c r="M75" s="12">
        <f t="shared" si="51"/>
        <v>1.6658146996091858</v>
      </c>
      <c r="N75" s="12">
        <f t="shared" si="52"/>
        <v>3.3325055005251585</v>
      </c>
      <c r="O75" s="12">
        <f t="shared" si="53"/>
        <v>2.0889022582092451</v>
      </c>
      <c r="P75" s="12">
        <f t="shared" si="54"/>
        <v>3.2569593926651947</v>
      </c>
      <c r="Q75" s="12">
        <f t="shared" si="55"/>
        <v>4.3534702879341438</v>
      </c>
    </row>
    <row r="76" spans="2:17" x14ac:dyDescent="0.3">
      <c r="B76" s="51" t="s">
        <v>18</v>
      </c>
      <c r="C76" s="52">
        <f t="shared" ref="C76:Q76" si="56">SUM(C66:C75)</f>
        <v>4171</v>
      </c>
      <c r="D76" s="52">
        <f t="shared" si="56"/>
        <v>5185</v>
      </c>
      <c r="E76" s="52">
        <f t="shared" si="56"/>
        <v>6059</v>
      </c>
      <c r="F76" s="52">
        <f t="shared" si="56"/>
        <v>5800</v>
      </c>
      <c r="G76" s="52">
        <f t="shared" si="56"/>
        <v>7623</v>
      </c>
      <c r="H76" s="52">
        <f t="shared" si="56"/>
        <v>9163</v>
      </c>
      <c r="I76" s="52">
        <f t="shared" si="56"/>
        <v>9048</v>
      </c>
      <c r="J76" s="52">
        <f t="shared" si="56"/>
        <v>9991</v>
      </c>
      <c r="K76" s="52">
        <f t="shared" si="56"/>
        <v>15469</v>
      </c>
      <c r="L76" s="52">
        <f t="shared" si="56"/>
        <v>11886</v>
      </c>
      <c r="M76" s="52">
        <f t="shared" si="56"/>
        <v>14185.072953408429</v>
      </c>
      <c r="N76" s="52">
        <f t="shared" si="56"/>
        <v>15344.420867587522</v>
      </c>
      <c r="O76" s="52">
        <f t="shared" si="56"/>
        <v>16571.039969888123</v>
      </c>
      <c r="P76" s="52">
        <f t="shared" si="56"/>
        <v>17844.068148761002</v>
      </c>
      <c r="Q76" s="52">
        <f t="shared" si="56"/>
        <v>18856.597730199734</v>
      </c>
    </row>
    <row r="77" spans="2:17" x14ac:dyDescent="0.3">
      <c r="B77" s="5"/>
      <c r="C77" s="12"/>
      <c r="D77" s="12"/>
      <c r="E77" s="12"/>
      <c r="F77" s="12"/>
      <c r="G77" s="12"/>
      <c r="H77" s="12"/>
      <c r="I77" s="12"/>
      <c r="J77" s="12"/>
      <c r="K77" s="12"/>
      <c r="L77" s="12"/>
    </row>
    <row r="78" spans="2:17" x14ac:dyDescent="0.3">
      <c r="B78" s="5" t="str">
        <f>'Data Sheet'!A101</f>
        <v>Fixed assets purchased</v>
      </c>
      <c r="C78" s="12">
        <f>'Data Sheet'!B101</f>
        <v>-810</v>
      </c>
      <c r="D78" s="12">
        <f>'Data Sheet'!C101</f>
        <v>-1113</v>
      </c>
      <c r="E78" s="12">
        <f>'Data Sheet'!D101</f>
        <v>-895</v>
      </c>
      <c r="F78" s="12">
        <f>'Data Sheet'!E101</f>
        <v>-767</v>
      </c>
      <c r="G78" s="12">
        <f>'Data Sheet'!F101</f>
        <v>-862</v>
      </c>
      <c r="H78" s="12">
        <f>'Data Sheet'!G101</f>
        <v>-4163</v>
      </c>
      <c r="I78" s="12">
        <f>'Data Sheet'!H101</f>
        <v>-1228</v>
      </c>
      <c r="J78" s="12">
        <f>'Data Sheet'!I101</f>
        <v>-1192</v>
      </c>
      <c r="K78" s="12">
        <f>'Data Sheet'!J101</f>
        <v>-1477</v>
      </c>
      <c r="L78" s="12">
        <f>'Data Sheet'!K101</f>
        <v>-1275</v>
      </c>
      <c r="M78" s="12">
        <f t="shared" ref="M78" si="57">FORECAST($M$3,C78:L78,$C$3:$L$3)</f>
        <v>-1808.3037102945154</v>
      </c>
      <c r="N78" s="12">
        <f t="shared" ref="N78" si="58">FORECAST($M$3,D78:M78,$C$3:$L$3)</f>
        <v>-1828.970518655482</v>
      </c>
      <c r="O78" s="12">
        <f t="shared" ref="O78" si="59">FORECAST($M$3,E78:N78,$C$3:$L$3)</f>
        <v>-1871.5965719436854</v>
      </c>
      <c r="P78" s="12">
        <f t="shared" ref="P78" si="60">FORECAST($M$3,F78:O78,$C$3:$L$3)</f>
        <v>-1825.9080716490434</v>
      </c>
      <c r="Q78" s="12">
        <f t="shared" ref="Q78" si="61">FORECAST($M$3,G78:P78,$C$3:$L$3)</f>
        <v>-1662.7703136871055</v>
      </c>
    </row>
    <row r="79" spans="2:17" x14ac:dyDescent="0.3">
      <c r="B79" s="5" t="str">
        <f>'Data Sheet'!A102</f>
        <v>Fixed assets sold</v>
      </c>
      <c r="C79" s="12">
        <f>'Data Sheet'!B102</f>
        <v>99</v>
      </c>
      <c r="D79" s="12">
        <f>'Data Sheet'!C102</f>
        <v>176</v>
      </c>
      <c r="E79" s="12">
        <f>'Data Sheet'!D102</f>
        <v>32</v>
      </c>
      <c r="F79" s="12">
        <f>'Data Sheet'!E102</f>
        <v>13</v>
      </c>
      <c r="G79" s="12">
        <f>'Data Sheet'!F102</f>
        <v>52</v>
      </c>
      <c r="H79" s="12">
        <f>'Data Sheet'!G102</f>
        <v>97</v>
      </c>
      <c r="I79" s="12">
        <f>'Data Sheet'!H102</f>
        <v>175</v>
      </c>
      <c r="J79" s="12">
        <f>'Data Sheet'!I102</f>
        <v>181</v>
      </c>
      <c r="K79" s="12">
        <f>'Data Sheet'!J102</f>
        <v>20</v>
      </c>
      <c r="L79" s="12">
        <f>'Data Sheet'!K102</f>
        <v>13</v>
      </c>
      <c r="M79" s="12">
        <f t="shared" ref="M79:M88" si="62">FORECAST($M$3,C79:L79,$C$3:$L$3)</f>
        <v>66.126630376941819</v>
      </c>
      <c r="N79" s="12">
        <f t="shared" ref="N79:N88" si="63">FORECAST($M$3,D79:M79,$C$3:$L$3)</f>
        <v>61.793854970931591</v>
      </c>
      <c r="O79" s="12">
        <f t="shared" ref="O79:O88" si="64">FORECAST($M$3,E79:N79,$C$3:$L$3)</f>
        <v>78.434953947139022</v>
      </c>
      <c r="P79" s="12">
        <f t="shared" ref="P79:P88" si="65">FORECAST($M$3,F79:O79,$C$3:$L$3)</f>
        <v>70.934268808396922</v>
      </c>
      <c r="Q79" s="12">
        <f t="shared" ref="Q79:Q88" si="66">FORECAST($M$3,G79:P79,$C$3:$L$3)</f>
        <v>52.275247830380636</v>
      </c>
    </row>
    <row r="80" spans="2:17" x14ac:dyDescent="0.3">
      <c r="B80" s="5" t="str">
        <f>'Data Sheet'!A103</f>
        <v>Investments purchased</v>
      </c>
      <c r="C80" s="12">
        <f>'Data Sheet'!B103</f>
        <v>-20666</v>
      </c>
      <c r="D80" s="12">
        <f>'Data Sheet'!C103</f>
        <v>-31214</v>
      </c>
      <c r="E80" s="12">
        <f>'Data Sheet'!D103</f>
        <v>-51855</v>
      </c>
      <c r="F80" s="12">
        <f>'Data Sheet'!E103</f>
        <v>-74365</v>
      </c>
      <c r="G80" s="12">
        <f>'Data Sheet'!F103</f>
        <v>-36090</v>
      </c>
      <c r="H80" s="12">
        <f>'Data Sheet'!G103</f>
        <v>-39920</v>
      </c>
      <c r="I80" s="12">
        <f>'Data Sheet'!H103</f>
        <v>-48522</v>
      </c>
      <c r="J80" s="12">
        <f>'Data Sheet'!I103</f>
        <v>-22649</v>
      </c>
      <c r="K80" s="12">
        <f>'Data Sheet'!J103</f>
        <v>-21337</v>
      </c>
      <c r="L80" s="12">
        <f>'Data Sheet'!K103</f>
        <v>-22957</v>
      </c>
      <c r="M80" s="12">
        <f t="shared" si="62"/>
        <v>-28011.4642385318</v>
      </c>
      <c r="N80" s="12">
        <f t="shared" si="63"/>
        <v>-20093.642167191021</v>
      </c>
      <c r="O80" s="12">
        <f t="shared" si="64"/>
        <v>-11329.872934482293</v>
      </c>
      <c r="P80" s="12">
        <f t="shared" si="65"/>
        <v>-5300.674177069217</v>
      </c>
      <c r="Q80" s="12">
        <f t="shared" si="66"/>
        <v>-5565.593061720836</v>
      </c>
    </row>
    <row r="81" spans="2:17" x14ac:dyDescent="0.3">
      <c r="B81" s="5" t="str">
        <f>'Data Sheet'!A104</f>
        <v>Investments sold</v>
      </c>
      <c r="C81" s="12">
        <f>'Data Sheet'!B104</f>
        <v>20937</v>
      </c>
      <c r="D81" s="12">
        <f>'Data Sheet'!C104</f>
        <v>30083</v>
      </c>
      <c r="E81" s="12">
        <f>'Data Sheet'!D104</f>
        <v>52897</v>
      </c>
      <c r="F81" s="12">
        <f>'Data Sheet'!E104</f>
        <v>74691</v>
      </c>
      <c r="G81" s="12">
        <f>'Data Sheet'!F104</f>
        <v>37690</v>
      </c>
      <c r="H81" s="12">
        <f>'Data Sheet'!G104</f>
        <v>38486</v>
      </c>
      <c r="I81" s="12">
        <f>'Data Sheet'!H104</f>
        <v>47786</v>
      </c>
      <c r="J81" s="12">
        <f>'Data Sheet'!I104</f>
        <v>23462</v>
      </c>
      <c r="K81" s="12">
        <f>'Data Sheet'!J104</f>
        <v>19846</v>
      </c>
      <c r="L81" s="12">
        <f>'Data Sheet'!K104</f>
        <v>23987</v>
      </c>
      <c r="M81" s="12">
        <f t="shared" si="62"/>
        <v>27938.572294852347</v>
      </c>
      <c r="N81" s="12">
        <f t="shared" si="63"/>
        <v>20044.488021117286</v>
      </c>
      <c r="O81" s="12">
        <f t="shared" si="64"/>
        <v>10963.258686643327</v>
      </c>
      <c r="P81" s="12">
        <f t="shared" si="65"/>
        <v>4996.8215003277874</v>
      </c>
      <c r="Q81" s="12">
        <f t="shared" si="66"/>
        <v>5252.3123925885884</v>
      </c>
    </row>
    <row r="82" spans="2:17" x14ac:dyDescent="0.3">
      <c r="B82" s="5" t="str">
        <f>'Data Sheet'!A105</f>
        <v>Interest received</v>
      </c>
      <c r="C82" s="12">
        <f>'Data Sheet'!B105</f>
        <v>315</v>
      </c>
      <c r="D82" s="12">
        <f>'Data Sheet'!C105</f>
        <v>264</v>
      </c>
      <c r="E82" s="12">
        <f>'Data Sheet'!D105</f>
        <v>297</v>
      </c>
      <c r="F82" s="12">
        <f>'Data Sheet'!E105</f>
        <v>289</v>
      </c>
      <c r="G82" s="12">
        <f>'Data Sheet'!F105</f>
        <v>351</v>
      </c>
      <c r="H82" s="12">
        <f>'Data Sheet'!G105</f>
        <v>277</v>
      </c>
      <c r="I82" s="12">
        <f>'Data Sheet'!H105</f>
        <v>161</v>
      </c>
      <c r="J82" s="12">
        <f>'Data Sheet'!I105</f>
        <v>259</v>
      </c>
      <c r="K82" s="12">
        <f>'Data Sheet'!J105</f>
        <v>425</v>
      </c>
      <c r="L82" s="12">
        <f>'Data Sheet'!K105</f>
        <v>835</v>
      </c>
      <c r="M82" s="12">
        <f t="shared" si="62"/>
        <v>519.28522203027387</v>
      </c>
      <c r="N82" s="12">
        <f t="shared" si="63"/>
        <v>579.45504805215296</v>
      </c>
      <c r="O82" s="12">
        <f t="shared" si="64"/>
        <v>636.42861387490848</v>
      </c>
      <c r="P82" s="12">
        <f t="shared" si="65"/>
        <v>704.05140141871379</v>
      </c>
      <c r="Q82" s="12">
        <f t="shared" si="66"/>
        <v>773.95002203352942</v>
      </c>
    </row>
    <row r="83" spans="2:17" x14ac:dyDescent="0.3">
      <c r="B83" s="5" t="str">
        <f>'Data Sheet'!A106</f>
        <v>Dividends received</v>
      </c>
      <c r="C83" s="12">
        <f>'Data Sheet'!B106</f>
        <v>33</v>
      </c>
      <c r="D83" s="12">
        <f>'Data Sheet'!C106</f>
        <v>14</v>
      </c>
      <c r="E83" s="12">
        <f>'Data Sheet'!D106</f>
        <v>0</v>
      </c>
      <c r="F83" s="12">
        <f>'Data Sheet'!E106</f>
        <v>1</v>
      </c>
      <c r="G83" s="12">
        <f>'Data Sheet'!F106</f>
        <v>1</v>
      </c>
      <c r="H83" s="12">
        <f>'Data Sheet'!G106</f>
        <v>1</v>
      </c>
      <c r="I83" s="12">
        <f>'Data Sheet'!H106</f>
        <v>1</v>
      </c>
      <c r="J83" s="12">
        <f>'Data Sheet'!I106</f>
        <v>2</v>
      </c>
      <c r="K83" s="12">
        <f>'Data Sheet'!J106</f>
        <v>3</v>
      </c>
      <c r="L83" s="12">
        <f>'Data Sheet'!K106</f>
        <v>0</v>
      </c>
      <c r="M83" s="12">
        <f>FORECAST($M$3,C83:L83,$C$3:$L$3)</f>
        <v>-6.5306433963785935</v>
      </c>
      <c r="N83" s="12">
        <f t="shared" si="63"/>
        <v>-4.07825438717758</v>
      </c>
      <c r="O83" s="12">
        <f t="shared" si="64"/>
        <v>-3.0752645340504969</v>
      </c>
      <c r="P83" s="12">
        <f t="shared" si="65"/>
        <v>-4.1971793166908071</v>
      </c>
      <c r="Q83" s="12">
        <f t="shared" si="66"/>
        <v>-5.2970771920474533</v>
      </c>
    </row>
    <row r="84" spans="2:17" x14ac:dyDescent="0.3">
      <c r="B84" s="5" t="str">
        <f>'Data Sheet'!A107</f>
        <v>Invest in subsidiaries</v>
      </c>
      <c r="C84" s="12">
        <f>'Data Sheet'!B107</f>
        <v>0</v>
      </c>
      <c r="D84" s="12">
        <f>'Data Sheet'!C107</f>
        <v>0</v>
      </c>
      <c r="E84" s="12">
        <f>'Data Sheet'!D107</f>
        <v>0</v>
      </c>
      <c r="F84" s="12">
        <f>'Data Sheet'!E107</f>
        <v>0</v>
      </c>
      <c r="G84" s="12">
        <f>'Data Sheet'!F107</f>
        <v>0</v>
      </c>
      <c r="H84" s="12">
        <f>'Data Sheet'!G107</f>
        <v>0</v>
      </c>
      <c r="I84" s="12">
        <f>'Data Sheet'!H107</f>
        <v>0</v>
      </c>
      <c r="J84" s="12">
        <f>'Data Sheet'!I107</f>
        <v>0</v>
      </c>
      <c r="K84" s="12">
        <f>'Data Sheet'!J107</f>
        <v>0</v>
      </c>
      <c r="L84" s="12">
        <f>'Data Sheet'!K107</f>
        <v>0</v>
      </c>
      <c r="M84" s="12">
        <f t="shared" si="62"/>
        <v>0</v>
      </c>
      <c r="N84" s="12">
        <f t="shared" si="63"/>
        <v>0</v>
      </c>
      <c r="O84" s="12">
        <f t="shared" si="64"/>
        <v>0</v>
      </c>
      <c r="P84" s="12">
        <f t="shared" si="65"/>
        <v>0</v>
      </c>
      <c r="Q84" s="12">
        <f t="shared" si="66"/>
        <v>0</v>
      </c>
    </row>
    <row r="85" spans="2:17" x14ac:dyDescent="0.3">
      <c r="B85" s="5" t="str">
        <f>'Data Sheet'!A108</f>
        <v>Loans to subsidiaries</v>
      </c>
      <c r="C85" s="12">
        <f>'Data Sheet'!B108</f>
        <v>0</v>
      </c>
      <c r="D85" s="12">
        <f>'Data Sheet'!C108</f>
        <v>0</v>
      </c>
      <c r="E85" s="12">
        <f>'Data Sheet'!D108</f>
        <v>0</v>
      </c>
      <c r="F85" s="12">
        <f>'Data Sheet'!E108</f>
        <v>0</v>
      </c>
      <c r="G85" s="12">
        <f>'Data Sheet'!F108</f>
        <v>0</v>
      </c>
      <c r="H85" s="12">
        <f>'Data Sheet'!G108</f>
        <v>0</v>
      </c>
      <c r="I85" s="12">
        <f>'Data Sheet'!H108</f>
        <v>0</v>
      </c>
      <c r="J85" s="12">
        <f>'Data Sheet'!I108</f>
        <v>0</v>
      </c>
      <c r="K85" s="12">
        <f>'Data Sheet'!J108</f>
        <v>0</v>
      </c>
      <c r="L85" s="12">
        <f>'Data Sheet'!K108</f>
        <v>0</v>
      </c>
      <c r="M85" s="12">
        <f t="shared" si="62"/>
        <v>0</v>
      </c>
      <c r="N85" s="12">
        <f t="shared" si="63"/>
        <v>0</v>
      </c>
      <c r="O85" s="12">
        <f t="shared" si="64"/>
        <v>0</v>
      </c>
      <c r="P85" s="12">
        <f t="shared" si="65"/>
        <v>0</v>
      </c>
      <c r="Q85" s="12">
        <f t="shared" si="66"/>
        <v>0</v>
      </c>
    </row>
    <row r="86" spans="2:17" x14ac:dyDescent="0.3">
      <c r="B86" s="5" t="str">
        <f>'Data Sheet'!A109</f>
        <v>Redemp n Canc of Shares</v>
      </c>
      <c r="C86" s="12">
        <f>'Data Sheet'!B109</f>
        <v>161</v>
      </c>
      <c r="D86" s="12">
        <f>'Data Sheet'!C109</f>
        <v>20</v>
      </c>
      <c r="E86" s="12">
        <f>'Data Sheet'!D109</f>
        <v>73</v>
      </c>
      <c r="F86" s="12">
        <f>'Data Sheet'!E109</f>
        <v>0</v>
      </c>
      <c r="G86" s="12">
        <f>'Data Sheet'!F109</f>
        <v>0</v>
      </c>
      <c r="H86" s="12">
        <f>'Data Sheet'!G109</f>
        <v>0</v>
      </c>
      <c r="I86" s="12">
        <f>'Data Sheet'!H109</f>
        <v>0</v>
      </c>
      <c r="J86" s="12">
        <f>'Data Sheet'!I109</f>
        <v>0</v>
      </c>
      <c r="K86" s="12">
        <f>'Data Sheet'!J109</f>
        <v>0</v>
      </c>
      <c r="L86" s="12">
        <f>'Data Sheet'!K109</f>
        <v>0</v>
      </c>
      <c r="M86" s="12">
        <f t="shared" si="62"/>
        <v>-39.722864402934192</v>
      </c>
      <c r="N86" s="12">
        <f t="shared" si="63"/>
        <v>-29.619239953866327</v>
      </c>
      <c r="O86" s="12">
        <f t="shared" si="64"/>
        <v>-39.685251770444097</v>
      </c>
      <c r="P86" s="12">
        <f t="shared" si="65"/>
        <v>-36.338000930228645</v>
      </c>
      <c r="Q86" s="12">
        <f t="shared" si="66"/>
        <v>-43.604611108264862</v>
      </c>
    </row>
    <row r="87" spans="2:17" x14ac:dyDescent="0.3">
      <c r="B87" s="5" t="str">
        <f>'Data Sheet'!A110</f>
        <v>Acquisition of companies</v>
      </c>
      <c r="C87" s="12">
        <f>'Data Sheet'!B110</f>
        <v>0</v>
      </c>
      <c r="D87" s="12">
        <f>'Data Sheet'!C110</f>
        <v>0</v>
      </c>
      <c r="E87" s="12">
        <f>'Data Sheet'!D110</f>
        <v>0</v>
      </c>
      <c r="F87" s="12">
        <f>'Data Sheet'!E110</f>
        <v>0</v>
      </c>
      <c r="G87" s="12">
        <f>'Data Sheet'!F110</f>
        <v>0</v>
      </c>
      <c r="H87" s="12">
        <f>'Data Sheet'!G110</f>
        <v>0</v>
      </c>
      <c r="I87" s="12">
        <f>'Data Sheet'!H110</f>
        <v>0</v>
      </c>
      <c r="J87" s="12">
        <f>'Data Sheet'!I110</f>
        <v>-334</v>
      </c>
      <c r="K87" s="12">
        <f>'Data Sheet'!J110</f>
        <v>0</v>
      </c>
      <c r="L87" s="12">
        <f>'Data Sheet'!K110</f>
        <v>0</v>
      </c>
      <c r="M87" s="12">
        <f t="shared" si="62"/>
        <v>-89.038214608706994</v>
      </c>
      <c r="N87" s="12">
        <f t="shared" si="63"/>
        <v>-102.40308946903724</v>
      </c>
      <c r="O87" s="12">
        <f t="shared" si="64"/>
        <v>-115.18236698993064</v>
      </c>
      <c r="P87" s="12">
        <f t="shared" si="65"/>
        <v>-126.23521631964309</v>
      </c>
      <c r="Q87" s="12">
        <f t="shared" si="66"/>
        <v>-133.97258792083949</v>
      </c>
    </row>
    <row r="88" spans="2:17" x14ac:dyDescent="0.3">
      <c r="B88" s="5" t="str">
        <f>'Data Sheet'!A111</f>
        <v>Other investing items</v>
      </c>
      <c r="C88" s="12">
        <f>'Data Sheet'!B111</f>
        <v>-351</v>
      </c>
      <c r="D88" s="12">
        <f>'Data Sheet'!C111</f>
        <v>597</v>
      </c>
      <c r="E88" s="12">
        <f>'Data Sheet'!D111</f>
        <v>-1612</v>
      </c>
      <c r="F88" s="12">
        <f>'Data Sheet'!E111</f>
        <v>-300</v>
      </c>
      <c r="G88" s="12">
        <f>'Data Sheet'!F111</f>
        <v>649</v>
      </c>
      <c r="H88" s="12">
        <f>'Data Sheet'!G111</f>
        <v>3994</v>
      </c>
      <c r="I88" s="12">
        <f>'Data Sheet'!H111</f>
        <v>-101</v>
      </c>
      <c r="J88" s="12">
        <f>'Data Sheet'!I111</f>
        <v>-1213</v>
      </c>
      <c r="K88" s="12">
        <f>'Data Sheet'!J111</f>
        <v>-2804</v>
      </c>
      <c r="L88" s="12">
        <f>'Data Sheet'!K111</f>
        <v>5870</v>
      </c>
      <c r="M88" s="12">
        <f t="shared" si="62"/>
        <v>1743.6418860932245</v>
      </c>
      <c r="N88" s="12">
        <f t="shared" si="63"/>
        <v>2032.8981601912856</v>
      </c>
      <c r="O88" s="12">
        <f t="shared" si="64"/>
        <v>2548.8070799154302</v>
      </c>
      <c r="P88" s="12">
        <f t="shared" si="65"/>
        <v>2588.1256029332908</v>
      </c>
      <c r="Q88" s="12">
        <f t="shared" si="66"/>
        <v>2715.8440800867829</v>
      </c>
    </row>
    <row r="89" spans="2:17" x14ac:dyDescent="0.3">
      <c r="B89" s="51" t="s">
        <v>19</v>
      </c>
      <c r="C89" s="52">
        <f>SUM(C78:C88)</f>
        <v>-282</v>
      </c>
      <c r="D89" s="52">
        <f t="shared" ref="D89:L89" si="67">SUM(D78:D88)</f>
        <v>-1173</v>
      </c>
      <c r="E89" s="52">
        <f t="shared" si="67"/>
        <v>-1063</v>
      </c>
      <c r="F89" s="52">
        <f t="shared" si="67"/>
        <v>-438</v>
      </c>
      <c r="G89" s="52">
        <f t="shared" si="67"/>
        <v>1791</v>
      </c>
      <c r="H89" s="52">
        <f t="shared" si="67"/>
        <v>-1228</v>
      </c>
      <c r="I89" s="52">
        <f t="shared" si="67"/>
        <v>-1728</v>
      </c>
      <c r="J89" s="52">
        <f t="shared" si="67"/>
        <v>-1484</v>
      </c>
      <c r="K89" s="52">
        <f t="shared" si="67"/>
        <v>-5324</v>
      </c>
      <c r="L89" s="52">
        <f t="shared" si="67"/>
        <v>6473</v>
      </c>
      <c r="M89" s="52">
        <f t="shared" ref="M89" si="68">SUM(M78:M88)</f>
        <v>312.56636211845353</v>
      </c>
      <c r="N89" s="52">
        <f t="shared" ref="N89" si="69">SUM(N78:N88)</f>
        <v>659.92181467507248</v>
      </c>
      <c r="O89" s="52">
        <f t="shared" ref="O89" si="70">SUM(O78:O88)</f>
        <v>867.51694466040112</v>
      </c>
      <c r="P89" s="52">
        <f t="shared" ref="P89" si="71">SUM(P78:P88)</f>
        <v>1066.580128203366</v>
      </c>
      <c r="Q89" s="52">
        <f t="shared" ref="Q89" si="72">SUM(Q78:Q88)</f>
        <v>1383.144090910188</v>
      </c>
    </row>
    <row r="90" spans="2:17" x14ac:dyDescent="0.3">
      <c r="B90" s="5"/>
      <c r="C90" s="12"/>
      <c r="D90" s="12"/>
      <c r="E90" s="12"/>
      <c r="F90" s="12"/>
      <c r="G90" s="12"/>
      <c r="H90" s="12"/>
      <c r="I90" s="12"/>
      <c r="J90" s="12"/>
      <c r="K90" s="12"/>
      <c r="L90" s="12"/>
    </row>
    <row r="91" spans="2:17" x14ac:dyDescent="0.3">
      <c r="B91" s="5" t="str">
        <f>'Data Sheet'!A114</f>
        <v>Proceeds from shares</v>
      </c>
      <c r="C91" s="12">
        <f>'Data Sheet'!B114</f>
        <v>0</v>
      </c>
      <c r="D91" s="12">
        <f>'Data Sheet'!C114</f>
        <v>0</v>
      </c>
      <c r="E91" s="12">
        <f>'Data Sheet'!D114</f>
        <v>0</v>
      </c>
      <c r="F91" s="12">
        <f>'Data Sheet'!E114</f>
        <v>0</v>
      </c>
      <c r="G91" s="12">
        <f>'Data Sheet'!F114</f>
        <v>0</v>
      </c>
      <c r="H91" s="12">
        <f>'Data Sheet'!G114</f>
        <v>0</v>
      </c>
      <c r="I91" s="12">
        <f>'Data Sheet'!H114</f>
        <v>0</v>
      </c>
      <c r="J91" s="12">
        <f>'Data Sheet'!I114</f>
        <v>0</v>
      </c>
      <c r="K91" s="12">
        <f>'Data Sheet'!J114</f>
        <v>0</v>
      </c>
      <c r="L91" s="12">
        <f>'Data Sheet'!K114</f>
        <v>0</v>
      </c>
      <c r="M91" s="12">
        <f t="shared" ref="M91" si="73">FORECAST($M$3,C91:L91,$C$3:$L$3)</f>
        <v>0</v>
      </c>
      <c r="N91" s="12">
        <f t="shared" ref="N91" si="74">FORECAST($M$3,D91:M91,$C$3:$L$3)</f>
        <v>0</v>
      </c>
      <c r="O91" s="12">
        <f t="shared" ref="O91" si="75">FORECAST($M$3,E91:N91,$C$3:$L$3)</f>
        <v>0</v>
      </c>
      <c r="P91" s="12">
        <f t="shared" ref="P91" si="76">FORECAST($M$3,F91:O91,$C$3:$L$3)</f>
        <v>0</v>
      </c>
      <c r="Q91" s="12">
        <f t="shared" ref="Q91" si="77">FORECAST($M$3,G91:P91,$C$3:$L$3)</f>
        <v>0</v>
      </c>
    </row>
    <row r="92" spans="2:17" x14ac:dyDescent="0.3">
      <c r="B92" s="5" t="str">
        <f>'Data Sheet'!A115</f>
        <v>Proceeds from borrowings</v>
      </c>
      <c r="C92" s="12">
        <f>'Data Sheet'!B115</f>
        <v>177</v>
      </c>
      <c r="D92" s="12">
        <f>'Data Sheet'!C115</f>
        <v>460</v>
      </c>
      <c r="E92" s="12">
        <f>'Data Sheet'!D115</f>
        <v>0</v>
      </c>
      <c r="F92" s="12">
        <f>'Data Sheet'!E115</f>
        <v>99</v>
      </c>
      <c r="G92" s="12">
        <f>'Data Sheet'!F115</f>
        <v>0</v>
      </c>
      <c r="H92" s="12">
        <f>'Data Sheet'!G115</f>
        <v>188</v>
      </c>
      <c r="I92" s="12">
        <f>'Data Sheet'!H115</f>
        <v>55</v>
      </c>
      <c r="J92" s="12">
        <f>'Data Sheet'!I115</f>
        <v>286</v>
      </c>
      <c r="K92" s="12">
        <f>'Data Sheet'!J115</f>
        <v>0</v>
      </c>
      <c r="L92" s="12">
        <f>'Data Sheet'!K115</f>
        <v>0</v>
      </c>
      <c r="M92" s="12">
        <f t="shared" ref="M92:M97" si="78">FORECAST($M$3,C92:L92,$C$3:$L$3)</f>
        <v>15.592816968558509</v>
      </c>
      <c r="N92" s="12">
        <f t="shared" ref="N92:N97" si="79">FORECAST($M$3,D92:M92,$C$3:$L$3)</f>
        <v>-15.263356871744236</v>
      </c>
      <c r="O92" s="12">
        <f t="shared" ref="O92:O97" si="80">FORECAST($M$3,E92:N92,$C$3:$L$3)</f>
        <v>27.688534504751374</v>
      </c>
      <c r="P92" s="12">
        <f t="shared" ref="P92:P97" si="81">FORECAST($M$3,F92:O92,$C$3:$L$3)</f>
        <v>-3.1069829553860018</v>
      </c>
      <c r="Q92" s="12">
        <f t="shared" ref="Q92:Q97" si="82">FORECAST($M$3,G92:P92,$C$3:$L$3)</f>
        <v>-21.713839165242916</v>
      </c>
    </row>
    <row r="93" spans="2:17" x14ac:dyDescent="0.3">
      <c r="B93" s="5" t="str">
        <f>'Data Sheet'!A116</f>
        <v>Repayment of borrowings</v>
      </c>
      <c r="C93" s="12">
        <f>'Data Sheet'!B116</f>
        <v>0</v>
      </c>
      <c r="D93" s="12">
        <f>'Data Sheet'!C116</f>
        <v>-360</v>
      </c>
      <c r="E93" s="12">
        <f>'Data Sheet'!D116</f>
        <v>-277</v>
      </c>
      <c r="F93" s="12">
        <f>'Data Sheet'!E116</f>
        <v>0</v>
      </c>
      <c r="G93" s="12">
        <f>'Data Sheet'!F116</f>
        <v>-99</v>
      </c>
      <c r="H93" s="12">
        <f>'Data Sheet'!G116</f>
        <v>-188</v>
      </c>
      <c r="I93" s="12">
        <f>'Data Sheet'!H116</f>
        <v>-55</v>
      </c>
      <c r="J93" s="12">
        <f>'Data Sheet'!I116</f>
        <v>-208</v>
      </c>
      <c r="K93" s="12">
        <f>'Data Sheet'!J116</f>
        <v>-85</v>
      </c>
      <c r="L93" s="12">
        <f>'Data Sheet'!K116</f>
        <v>0</v>
      </c>
      <c r="M93" s="12">
        <f t="shared" si="78"/>
        <v>-59.99474845148211</v>
      </c>
      <c r="N93" s="12">
        <f t="shared" si="79"/>
        <v>0.77902097726655484</v>
      </c>
      <c r="O93" s="12">
        <f t="shared" si="80"/>
        <v>-6.0964302610072991</v>
      </c>
      <c r="P93" s="12">
        <f t="shared" si="81"/>
        <v>-17.646528069776195</v>
      </c>
      <c r="Q93" s="12">
        <f t="shared" si="82"/>
        <v>21.986071154074125</v>
      </c>
    </row>
    <row r="94" spans="2:17" x14ac:dyDescent="0.3">
      <c r="B94" s="5" t="str">
        <f>'Data Sheet'!A117</f>
        <v>Interest paid fin</v>
      </c>
      <c r="C94" s="12">
        <f>'Data Sheet'!B117</f>
        <v>-2</v>
      </c>
      <c r="D94" s="12">
        <f>'Data Sheet'!C117</f>
        <v>-14</v>
      </c>
      <c r="E94" s="12">
        <f>'Data Sheet'!D117</f>
        <v>-6</v>
      </c>
      <c r="F94" s="12">
        <f>'Data Sheet'!E117</f>
        <v>-7</v>
      </c>
      <c r="G94" s="12">
        <f>'Data Sheet'!F117</f>
        <v>-90</v>
      </c>
      <c r="H94" s="12">
        <f>'Data Sheet'!G117</f>
        <v>-92</v>
      </c>
      <c r="I94" s="12">
        <f>'Data Sheet'!H117</f>
        <v>-82</v>
      </c>
      <c r="J94" s="12">
        <f>'Data Sheet'!I117</f>
        <v>-88</v>
      </c>
      <c r="K94" s="12">
        <f>'Data Sheet'!J117</f>
        <v>-110</v>
      </c>
      <c r="L94" s="12">
        <f>'Data Sheet'!K117</f>
        <v>-130</v>
      </c>
      <c r="M94" s="12">
        <f t="shared" si="78"/>
        <v>-144.13461714332425</v>
      </c>
      <c r="N94" s="12">
        <f t="shared" si="79"/>
        <v>-160.91527527599055</v>
      </c>
      <c r="O94" s="12">
        <f t="shared" si="80"/>
        <v>-178.13399785877004</v>
      </c>
      <c r="P94" s="12">
        <f t="shared" si="81"/>
        <v>-190.31989425580923</v>
      </c>
      <c r="Q94" s="12">
        <f t="shared" si="82"/>
        <v>-196.17531495178787</v>
      </c>
    </row>
    <row r="95" spans="2:17" x14ac:dyDescent="0.3">
      <c r="B95" s="5" t="str">
        <f>'Data Sheet'!A118</f>
        <v>Dividends paid</v>
      </c>
      <c r="C95" s="12">
        <f>'Data Sheet'!B118</f>
        <v>-3354</v>
      </c>
      <c r="D95" s="12">
        <f>'Data Sheet'!C118</f>
        <v>-3572</v>
      </c>
      <c r="E95" s="12">
        <f>'Data Sheet'!D118</f>
        <v>-3911</v>
      </c>
      <c r="F95" s="12">
        <f>'Data Sheet'!E118</f>
        <v>-4554</v>
      </c>
      <c r="G95" s="12">
        <f>'Data Sheet'!F118</f>
        <v>-5196</v>
      </c>
      <c r="H95" s="12">
        <f>'Data Sheet'!G118</f>
        <v>-8811</v>
      </c>
      <c r="I95" s="12">
        <f>'Data Sheet'!H118</f>
        <v>-7526</v>
      </c>
      <c r="J95" s="12">
        <f>'Data Sheet'!I118</f>
        <v>-8474</v>
      </c>
      <c r="K95" s="12">
        <f>'Data Sheet'!J118</f>
        <v>-9416</v>
      </c>
      <c r="L95" s="12">
        <f>'Data Sheet'!K118</f>
        <v>-12473</v>
      </c>
      <c r="M95" s="12">
        <f t="shared" si="78"/>
        <v>-12005.98888450941</v>
      </c>
      <c r="N95" s="12">
        <f t="shared" si="79"/>
        <v>-13217.184303653732</v>
      </c>
      <c r="O95" s="12">
        <f t="shared" si="80"/>
        <v>-14393.368806800616</v>
      </c>
      <c r="P95" s="12">
        <f t="shared" si="81"/>
        <v>-15488.162794002288</v>
      </c>
      <c r="Q95" s="12">
        <f t="shared" si="82"/>
        <v>-16493.554325655423</v>
      </c>
    </row>
    <row r="96" spans="2:17" x14ac:dyDescent="0.3">
      <c r="B96" s="5" t="str">
        <f>'Data Sheet'!A119</f>
        <v>Financial liabilities</v>
      </c>
      <c r="C96" s="12">
        <f>'Data Sheet'!B119</f>
        <v>0</v>
      </c>
      <c r="D96" s="12">
        <f>'Data Sheet'!C119</f>
        <v>0</v>
      </c>
      <c r="E96" s="12">
        <f>'Data Sheet'!D119</f>
        <v>0</v>
      </c>
      <c r="F96" s="12">
        <f>'Data Sheet'!E119</f>
        <v>0</v>
      </c>
      <c r="G96" s="12">
        <f>'Data Sheet'!F119</f>
        <v>-373</v>
      </c>
      <c r="H96" s="12">
        <f>'Data Sheet'!G119</f>
        <v>-406</v>
      </c>
      <c r="I96" s="12">
        <f>'Data Sheet'!H119</f>
        <v>-407</v>
      </c>
      <c r="J96" s="12">
        <f>'Data Sheet'!I119</f>
        <v>-467</v>
      </c>
      <c r="K96" s="12">
        <f>'Data Sheet'!J119</f>
        <v>-423</v>
      </c>
      <c r="L96" s="12">
        <f>'Data Sheet'!K119</f>
        <v>-498</v>
      </c>
      <c r="M96" s="12">
        <f t="shared" si="78"/>
        <v>-625.12689424097698</v>
      </c>
      <c r="N96" s="12">
        <f t="shared" si="79"/>
        <v>-703.55764712998462</v>
      </c>
      <c r="O96" s="12">
        <f t="shared" si="80"/>
        <v>-771.69628993617698</v>
      </c>
      <c r="P96" s="12">
        <f t="shared" si="81"/>
        <v>-820.1974061886358</v>
      </c>
      <c r="Q96" s="12">
        <f t="shared" si="82"/>
        <v>-836.66484558197953</v>
      </c>
    </row>
    <row r="97" spans="2:17" x14ac:dyDescent="0.3">
      <c r="B97" s="5" t="str">
        <f>'Data Sheet'!A120</f>
        <v>Other financing items</v>
      </c>
      <c r="C97" s="12">
        <f>'Data Sheet'!B120</f>
        <v>-685</v>
      </c>
      <c r="D97" s="12">
        <f>'Data Sheet'!C120</f>
        <v>-728</v>
      </c>
      <c r="E97" s="12">
        <f>'Data Sheet'!D120</f>
        <v>-781</v>
      </c>
      <c r="F97" s="12">
        <f>'Data Sheet'!E120</f>
        <v>-928</v>
      </c>
      <c r="G97" s="12">
        <f>'Data Sheet'!F120</f>
        <v>-1061</v>
      </c>
      <c r="H97" s="12">
        <f>'Data Sheet'!G120</f>
        <v>0</v>
      </c>
      <c r="I97" s="12">
        <f>'Data Sheet'!H120</f>
        <v>0</v>
      </c>
      <c r="J97" s="12">
        <f>'Data Sheet'!I120</f>
        <v>-2</v>
      </c>
      <c r="K97" s="12">
        <f>'Data Sheet'!J120</f>
        <v>0</v>
      </c>
      <c r="L97" s="12">
        <f>'Data Sheet'!K120</f>
        <v>0</v>
      </c>
      <c r="M97" s="12">
        <f t="shared" si="78"/>
        <v>214.82127172270339</v>
      </c>
      <c r="N97" s="12">
        <f t="shared" si="79"/>
        <v>397.15641724675515</v>
      </c>
      <c r="O97" s="12">
        <f t="shared" si="80"/>
        <v>580.82624961046895</v>
      </c>
      <c r="P97" s="12">
        <f t="shared" si="81"/>
        <v>748.84225950689506</v>
      </c>
      <c r="Q97" s="12">
        <f t="shared" si="82"/>
        <v>854.12751717944047</v>
      </c>
    </row>
    <row r="98" spans="2:17" x14ac:dyDescent="0.3">
      <c r="B98" s="51" t="s">
        <v>20</v>
      </c>
      <c r="C98" s="52">
        <f>SUM(C91:C97)</f>
        <v>-3864</v>
      </c>
      <c r="D98" s="52">
        <f t="shared" ref="D98:L98" si="83">SUM(D91:D97)</f>
        <v>-4214</v>
      </c>
      <c r="E98" s="52">
        <f t="shared" si="83"/>
        <v>-4975</v>
      </c>
      <c r="F98" s="52">
        <f t="shared" si="83"/>
        <v>-5390</v>
      </c>
      <c r="G98" s="52">
        <f t="shared" si="83"/>
        <v>-6819</v>
      </c>
      <c r="H98" s="52">
        <f t="shared" si="83"/>
        <v>-9309</v>
      </c>
      <c r="I98" s="52">
        <f t="shared" si="83"/>
        <v>-8015</v>
      </c>
      <c r="J98" s="52">
        <f t="shared" si="83"/>
        <v>-8953</v>
      </c>
      <c r="K98" s="52">
        <f t="shared" si="83"/>
        <v>-10034</v>
      </c>
      <c r="L98" s="52">
        <f t="shared" si="83"/>
        <v>-13101</v>
      </c>
      <c r="M98" s="52">
        <f t="shared" ref="M98" si="84">SUM(M91:M97)</f>
        <v>-12604.831055653931</v>
      </c>
      <c r="N98" s="52">
        <f t="shared" ref="N98" si="85">SUM(N91:N97)</f>
        <v>-13698.985144707431</v>
      </c>
      <c r="O98" s="52">
        <f t="shared" ref="O98" si="86">SUM(O91:O97)</f>
        <v>-14740.780740741349</v>
      </c>
      <c r="P98" s="52">
        <f t="shared" ref="P98" si="87">SUM(P91:P97)</f>
        <v>-15770.591345965</v>
      </c>
      <c r="Q98" s="52">
        <f t="shared" ref="Q98" si="88">SUM(Q91:Q97)</f>
        <v>-16671.994737020919</v>
      </c>
    </row>
    <row r="99" spans="2:17" x14ac:dyDescent="0.3">
      <c r="B99" s="1"/>
      <c r="C99" s="12"/>
      <c r="D99" s="12"/>
      <c r="E99" s="12"/>
      <c r="F99" s="12"/>
      <c r="G99" s="12"/>
      <c r="H99" s="12"/>
      <c r="I99" s="12"/>
      <c r="J99" s="12"/>
      <c r="K99" s="12"/>
      <c r="L99" s="12"/>
    </row>
    <row r="100" spans="2:17" x14ac:dyDescent="0.3">
      <c r="B100" s="43" t="s">
        <v>21</v>
      </c>
      <c r="C100" s="28">
        <f>SUM(C76,C89,C98,)</f>
        <v>25</v>
      </c>
      <c r="D100" s="28">
        <f>SUM(D76,D89,D98)</f>
        <v>-202</v>
      </c>
      <c r="E100" s="28">
        <f t="shared" ref="E100:Q100" si="89">SUM(E76,E89,E98)</f>
        <v>21</v>
      </c>
      <c r="F100" s="28">
        <f t="shared" si="89"/>
        <v>-28</v>
      </c>
      <c r="G100" s="28">
        <f t="shared" si="89"/>
        <v>2595</v>
      </c>
      <c r="H100" s="28">
        <f t="shared" si="89"/>
        <v>-1374</v>
      </c>
      <c r="I100" s="28">
        <f t="shared" si="89"/>
        <v>-695</v>
      </c>
      <c r="J100" s="28">
        <f t="shared" si="89"/>
        <v>-446</v>
      </c>
      <c r="K100" s="28">
        <f t="shared" si="89"/>
        <v>111</v>
      </c>
      <c r="L100" s="28">
        <f t="shared" si="89"/>
        <v>5258</v>
      </c>
      <c r="M100" s="28">
        <f t="shared" si="89"/>
        <v>1892.8082598729525</v>
      </c>
      <c r="N100" s="28">
        <f t="shared" si="89"/>
        <v>2305.3575375551627</v>
      </c>
      <c r="O100" s="28">
        <f t="shared" si="89"/>
        <v>2697.7761738071749</v>
      </c>
      <c r="P100" s="28">
        <f t="shared" si="89"/>
        <v>3140.0569309993662</v>
      </c>
      <c r="Q100" s="28">
        <f t="shared" si="89"/>
        <v>3567.7470840890019</v>
      </c>
    </row>
  </sheetData>
  <mergeCells count="1">
    <mergeCell ref="B2:Q2"/>
  </mergeCells>
  <phoneticPr fontId="10" type="noConversion"/>
  <pageMargins left="0.7" right="0.7" top="0.75" bottom="0.75" header="0.3" footer="0.3"/>
  <ignoredErrors>
    <ignoredError sqref="C15:L15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BA77E-0C67-44D4-9820-D7B1F24FD5B5}">
  <dimension ref="A2:S41"/>
  <sheetViews>
    <sheetView showGridLines="0" zoomScaleNormal="100" workbookViewId="0">
      <selection activeCell="N5" sqref="N5"/>
    </sheetView>
  </sheetViews>
  <sheetFormatPr defaultRowHeight="14.4" x14ac:dyDescent="0.3"/>
  <cols>
    <col min="1" max="1" width="1.88671875" customWidth="1"/>
    <col min="2" max="2" width="18.5546875" style="9" bestFit="1" customWidth="1"/>
    <col min="3" max="6" width="10.5546875" bestFit="1" customWidth="1"/>
    <col min="7" max="7" width="9.5546875" bestFit="1" customWidth="1"/>
    <col min="8" max="8" width="9" bestFit="1" customWidth="1"/>
    <col min="9" max="10" width="10.5546875" bestFit="1" customWidth="1"/>
    <col min="11" max="12" width="10.21875" bestFit="1" customWidth="1"/>
  </cols>
  <sheetData>
    <row r="2" spans="1:17" x14ac:dyDescent="0.3">
      <c r="A2" s="11"/>
      <c r="B2" s="94" t="s">
        <v>82</v>
      </c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  <c r="Q2" s="94"/>
    </row>
    <row r="3" spans="1:17" x14ac:dyDescent="0.3">
      <c r="B3" s="38" t="s">
        <v>59</v>
      </c>
      <c r="C3" s="35" cm="1">
        <f t="array" ref="C3:L3">'3 Statement Model'!C3:L3</f>
        <v>42460</v>
      </c>
      <c r="D3" s="35">
        <v>42825</v>
      </c>
      <c r="E3" s="35">
        <v>43190</v>
      </c>
      <c r="F3" s="35">
        <v>43555</v>
      </c>
      <c r="G3" s="35">
        <v>43921</v>
      </c>
      <c r="H3" s="35">
        <v>44286</v>
      </c>
      <c r="I3" s="35">
        <v>44651</v>
      </c>
      <c r="J3" s="35">
        <v>45016</v>
      </c>
      <c r="K3" s="35">
        <v>45382</v>
      </c>
      <c r="L3" s="35">
        <v>45747</v>
      </c>
      <c r="M3" s="35">
        <f>'3 Statement Model'!M3</f>
        <v>46112</v>
      </c>
      <c r="N3" s="35">
        <f>'3 Statement Model'!N3</f>
        <v>46477</v>
      </c>
      <c r="O3" s="35">
        <f>'3 Statement Model'!O3</f>
        <v>46843</v>
      </c>
      <c r="P3" s="35">
        <f>'3 Statement Model'!P3</f>
        <v>47208</v>
      </c>
      <c r="Q3" s="35">
        <f>'3 Statement Model'!Q3</f>
        <v>47573</v>
      </c>
    </row>
    <row r="4" spans="1:17" x14ac:dyDescent="0.3">
      <c r="M4" s="47"/>
      <c r="N4" s="47"/>
      <c r="O4" s="47"/>
      <c r="P4" s="47"/>
      <c r="Q4" s="47"/>
    </row>
    <row r="5" spans="1:17" x14ac:dyDescent="0.3">
      <c r="B5" s="25" t="s">
        <v>103</v>
      </c>
      <c r="M5" s="47"/>
      <c r="N5" s="47"/>
      <c r="O5" s="47"/>
      <c r="P5" s="47"/>
      <c r="Q5" s="47"/>
    </row>
    <row r="6" spans="1:17" x14ac:dyDescent="0.3">
      <c r="B6" s="9" t="s">
        <v>63</v>
      </c>
      <c r="C6" s="4">
        <f>'3 Statement Model'!C13</f>
        <v>0.43385322811160132</v>
      </c>
      <c r="D6" s="4">
        <f>'3 Statement Model'!D13</f>
        <v>0.43685543694590195</v>
      </c>
      <c r="E6" s="4">
        <f>'3 Statement Model'!E13</f>
        <v>0.45663243775495849</v>
      </c>
      <c r="F6" s="4">
        <f>'3 Statement Model'!F13</f>
        <v>0.46372424319511574</v>
      </c>
      <c r="G6" s="4">
        <f>'3 Statement Model'!G13</f>
        <v>0.48183897644722617</v>
      </c>
      <c r="H6" s="4">
        <f>'3 Statement Model'!H13</f>
        <v>0.46200136089138388</v>
      </c>
      <c r="I6" s="4">
        <f>'3 Statement Model'!I13</f>
        <v>0.44579186210578498</v>
      </c>
      <c r="J6" s="4">
        <f>'3 Statement Model'!J13</f>
        <v>0.41596236381644108</v>
      </c>
      <c r="K6" s="4">
        <f>'3 Statement Model'!K13</f>
        <v>0.45632997285769678</v>
      </c>
      <c r="L6" s="4">
        <f>'3 Statement Model'!L13</f>
        <v>0.45297127738787407</v>
      </c>
      <c r="M6" s="55">
        <f>'3 Statement Model'!M13</f>
        <v>0.4487956967954756</v>
      </c>
      <c r="N6" s="55">
        <f>'3 Statement Model'!N13</f>
        <v>0.44654780517471293</v>
      </c>
      <c r="O6" s="55">
        <f>'3 Statement Model'!O13</f>
        <v>0.44370116859214875</v>
      </c>
      <c r="P6" s="55">
        <f>'3 Statement Model'!P13</f>
        <v>0.44193797541086938</v>
      </c>
      <c r="Q6" s="55">
        <f>'3 Statement Model'!Q13</f>
        <v>0.44107205172370939</v>
      </c>
    </row>
    <row r="7" spans="1:17" x14ac:dyDescent="0.3">
      <c r="B7" s="9" t="s">
        <v>66</v>
      </c>
      <c r="C7" s="4">
        <f>'3 Statement Model'!C18</f>
        <v>0.18362020754365252</v>
      </c>
      <c r="D7" s="4">
        <f>'3 Statement Model'!D18</f>
        <v>0.1908208190097099</v>
      </c>
      <c r="E7" s="4">
        <f>'3 Statement Model'!E18</f>
        <v>0.21097200731467156</v>
      </c>
      <c r="F7" s="4">
        <f>'3 Statement Model'!F18</f>
        <v>0.2258967183922666</v>
      </c>
      <c r="G7" s="4">
        <f>'3 Statement Model'!G18</f>
        <v>0.24786969308498605</v>
      </c>
      <c r="H7" s="4">
        <f>'3 Statement Model'!H18</f>
        <v>0.24721442544866887</v>
      </c>
      <c r="I7" s="4">
        <f>'3 Statement Model'!I18</f>
        <v>0.24514738969606834</v>
      </c>
      <c r="J7" s="4">
        <f>'3 Statement Model'!J18</f>
        <v>0.23352591614394189</v>
      </c>
      <c r="K7" s="4">
        <f>'3 Statement Model'!K18</f>
        <v>0.23683275171255008</v>
      </c>
      <c r="L7" s="4">
        <f>'3 Statement Model'!L18</f>
        <v>0.23515153435465216</v>
      </c>
      <c r="M7" s="55">
        <f>'3 Statement Model'!M18</f>
        <v>0.24699018723728769</v>
      </c>
      <c r="N7" s="55">
        <f>'3 Statement Model'!N18</f>
        <v>0.24704062512227917</v>
      </c>
      <c r="O7" s="55">
        <f>'3 Statement Model'!O18</f>
        <v>0.24609238599368313</v>
      </c>
      <c r="P7" s="55">
        <f>'3 Statement Model'!P18</f>
        <v>0.2451328936782583</v>
      </c>
      <c r="Q7" s="55">
        <f>'3 Statement Model'!Q18</f>
        <v>0.24437534888259119</v>
      </c>
    </row>
    <row r="8" spans="1:17" x14ac:dyDescent="0.3">
      <c r="B8" s="9" t="s">
        <v>68</v>
      </c>
      <c r="C8" s="4">
        <f>'3 Statement Model'!C23</f>
        <v>0.17265270614552911</v>
      </c>
      <c r="D8" s="4">
        <f>'3 Statement Model'!D23</f>
        <v>0.17779386044267534</v>
      </c>
      <c r="E8" s="4">
        <f>'3 Statement Model'!E23</f>
        <v>0.19634266422844282</v>
      </c>
      <c r="F8" s="4">
        <f>'3 Statement Model'!F23</f>
        <v>0.21152378529636226</v>
      </c>
      <c r="G8" s="4">
        <f>'3 Statement Model'!G23</f>
        <v>0.22268305557650253</v>
      </c>
      <c r="H8" s="4">
        <f>'3 Statement Model'!H23</f>
        <v>0.22437696691332823</v>
      </c>
      <c r="I8" s="4">
        <f>'3 Statement Model'!I23</f>
        <v>0.22434504061320215</v>
      </c>
      <c r="J8" s="4">
        <f>'3 Statement Model'!J23</f>
        <v>0.21475734565863322</v>
      </c>
      <c r="K8" s="4">
        <f>'3 Statement Model'!K23</f>
        <v>0.21718689414501746</v>
      </c>
      <c r="L8" s="4">
        <f>'3 Statement Model'!L23</f>
        <v>0.21368482755342913</v>
      </c>
      <c r="M8" s="55">
        <f>'3 Statement Model'!M23</f>
        <v>0.22476917084353695</v>
      </c>
      <c r="N8" s="55">
        <f>'3 Statement Model'!N23</f>
        <v>0.22469096953771633</v>
      </c>
      <c r="O8" s="55">
        <f>'3 Statement Model'!O23</f>
        <v>0.22369892766276112</v>
      </c>
      <c r="P8" s="55">
        <f>'3 Statement Model'!P23</f>
        <v>0.22281761074937398</v>
      </c>
      <c r="Q8" s="55">
        <f>'3 Statement Model'!Q23</f>
        <v>0.22249292458205999</v>
      </c>
    </row>
    <row r="9" spans="1:17" x14ac:dyDescent="0.3">
      <c r="B9" s="9" t="s">
        <v>73</v>
      </c>
      <c r="C9" s="4">
        <f>'3 Statement Model'!C34</f>
        <v>0.11386938420431243</v>
      </c>
      <c r="D9" s="4">
        <f>'3 Statement Model'!D34</f>
        <v>0.11712200711657922</v>
      </c>
      <c r="E9" s="4">
        <f>'3 Statement Model'!E34</f>
        <v>0.1371219580813054</v>
      </c>
      <c r="F9" s="4">
        <f>'3 Statement Model'!F34</f>
        <v>0.14596794708725516</v>
      </c>
      <c r="G9" s="4">
        <f>'3 Statement Model'!G34</f>
        <v>0.15916346178015736</v>
      </c>
      <c r="H9" s="4">
        <f>'3 Statement Model'!H34</f>
        <v>0.16647529131581185</v>
      </c>
      <c r="I9" s="4">
        <f>'3 Statement Model'!I34</f>
        <v>0.16537009495481067</v>
      </c>
      <c r="J9" s="4">
        <f>'3 Statement Model'!J34</f>
        <v>0.16003631561571477</v>
      </c>
      <c r="K9" s="4">
        <f>'3 Statement Model'!K34</f>
        <v>0.15291779759596744</v>
      </c>
      <c r="L9" s="4">
        <f>'3 Statement Model'!L34</f>
        <v>0.14811235563441644</v>
      </c>
      <c r="M9" s="55">
        <f>'3 Statement Model'!M34</f>
        <v>0.16278049332767755</v>
      </c>
      <c r="N9" s="55">
        <f>'3 Statement Model'!N34</f>
        <v>0.16265012165819059</v>
      </c>
      <c r="O9" s="55">
        <f>'3 Statement Model'!O34</f>
        <v>0.16148723203154602</v>
      </c>
      <c r="P9" s="55">
        <f>'3 Statement Model'!P34</f>
        <v>0.16059233584261959</v>
      </c>
      <c r="Q9" s="55">
        <f>'3 Statement Model'!Q34</f>
        <v>0.15960323149407352</v>
      </c>
    </row>
    <row r="10" spans="1:17" x14ac:dyDescent="0.3">
      <c r="B10" s="9" t="s">
        <v>83</v>
      </c>
      <c r="C10" s="4">
        <f>'3 Statement Model'!C33/'3 Statement Model'!C58</f>
        <v>0.24775231528425606</v>
      </c>
      <c r="D10" s="4">
        <f>'3 Statement Model'!D33/'3 Statement Model'!D58</f>
        <v>0.24729402776009168</v>
      </c>
      <c r="E10" s="4">
        <f>'3 Statement Model'!E33/'3 Statement Model'!E58</f>
        <v>0.27286977941999774</v>
      </c>
      <c r="F10" s="4">
        <f>'3 Statement Model'!F33/'3 Statement Model'!F58</f>
        <v>0.30801438617209725</v>
      </c>
      <c r="G10" s="4">
        <f>'3 Statement Model'!G33/'3 Statement Model'!G58</f>
        <v>0.31419639755867612</v>
      </c>
      <c r="H10" s="4">
        <f>'3 Statement Model'!H33/'3 Statement Model'!H58</f>
        <v>0.11389292988070993</v>
      </c>
      <c r="I10" s="4">
        <f>'3 Statement Model'!I33/'3 Statement Model'!I58</f>
        <v>0.12301080759084333</v>
      </c>
      <c r="J10" s="4">
        <f>'3 Statement Model'!J33/'3 Statement Model'!J58</f>
        <v>0.13266828140180906</v>
      </c>
      <c r="K10" s="4">
        <f>'3 Statement Model'!K33/'3 Statement Model'!K58</f>
        <v>0.12059014638993999</v>
      </c>
      <c r="L10" s="4">
        <f>'3 Statement Model'!L33/'3 Statement Model'!L58</f>
        <v>0.1170629703367016</v>
      </c>
      <c r="M10" s="55">
        <f>'3 Statement Model'!M33/'3 Statement Model'!M58</f>
        <v>0.11572018489874955</v>
      </c>
      <c r="N10" s="55">
        <f>'3 Statement Model'!N33/'3 Statement Model'!N58</f>
        <v>0.11029540385024715</v>
      </c>
      <c r="O10" s="55">
        <f>'3 Statement Model'!O33/'3 Statement Model'!O58</f>
        <v>0.10540667634223759</v>
      </c>
      <c r="P10" s="55">
        <f>'3 Statement Model'!P33/'3 Statement Model'!P58</f>
        <v>0.10204298233667183</v>
      </c>
      <c r="Q10" s="55">
        <f>'3 Statement Model'!Q33/'3 Statement Model'!Q58</f>
        <v>0.10079173579835585</v>
      </c>
    </row>
    <row r="11" spans="1:17" x14ac:dyDescent="0.3">
      <c r="B11" s="9" t="s">
        <v>31</v>
      </c>
      <c r="C11" s="4">
        <f>'3 Statement Model'!C33/SUM('3 Statement Model'!C39:C40)</f>
        <v>0.55758405598661187</v>
      </c>
      <c r="D11" s="4">
        <f>'3 Statement Model'!D33/SUM('3 Statement Model'!D39:D40)</f>
        <v>0.57591933570581255</v>
      </c>
      <c r="E11" s="4">
        <f>'3 Statement Model'!E33/SUM('3 Statement Model'!E39:E40)</f>
        <v>0.6694135420958659</v>
      </c>
      <c r="F11" s="4">
        <f>'3 Statement Model'!F33/SUM('3 Statement Model'!F39:F40)</f>
        <v>0.72937587390364811</v>
      </c>
      <c r="G11" s="4">
        <f>'3 Statement Model'!G33/SUM('3 Statement Model'!G39:G40)</f>
        <v>0.76947381212784061</v>
      </c>
      <c r="H11" s="4">
        <f>'3 Statement Model'!H33/SUM('3 Statement Model'!H39:H40)</f>
        <v>0.16421949070772329</v>
      </c>
      <c r="I11" s="4">
        <f>'3 Statement Model'!I33/SUM('3 Statement Model'!I39:I40)</f>
        <v>0.1767799270296162</v>
      </c>
      <c r="J11" s="4">
        <f>'3 Statement Model'!J33/SUM('3 Statement Model'!J39:J40)</f>
        <v>0.19272821246819338</v>
      </c>
      <c r="K11" s="4">
        <f>'3 Statement Model'!K33/SUM('3 Statement Model'!K39:K40)</f>
        <v>0.18479831309305322</v>
      </c>
      <c r="L11" s="4">
        <f>'3 Statement Model'!L33/SUM('3 Statement Model'!L39:L40)</f>
        <v>0.18924335047164081</v>
      </c>
      <c r="M11" s="55">
        <f>'3 Statement Model'!M33/SUM('3 Statement Model'!M39:M40)</f>
        <v>0.17279444425816398</v>
      </c>
      <c r="N11" s="55">
        <f>'3 Statement Model'!N33/SUM('3 Statement Model'!N39:N40)</f>
        <v>0.16334825739534756</v>
      </c>
      <c r="O11" s="55">
        <f>'3 Statement Model'!O33/SUM('3 Statement Model'!O39:O40)</f>
        <v>0.15527878707264642</v>
      </c>
      <c r="P11" s="55">
        <f>'3 Statement Model'!P33/SUM('3 Statement Model'!P39:P40)</f>
        <v>0.15021895495253057</v>
      </c>
      <c r="Q11" s="55">
        <f>'3 Statement Model'!Q33/SUM('3 Statement Model'!Q39:Q40)</f>
        <v>0.14873283772293058</v>
      </c>
    </row>
    <row r="12" spans="1:17" x14ac:dyDescent="0.3">
      <c r="M12" s="47"/>
      <c r="N12" s="47"/>
      <c r="O12" s="47"/>
      <c r="P12" s="47"/>
      <c r="Q12" s="47"/>
    </row>
    <row r="13" spans="1:17" x14ac:dyDescent="0.3">
      <c r="B13" s="25" t="s">
        <v>104</v>
      </c>
      <c r="M13" s="47"/>
      <c r="N13" s="47"/>
      <c r="O13" s="47"/>
      <c r="P13" s="47"/>
      <c r="Q13" s="47"/>
    </row>
    <row r="14" spans="1:17" x14ac:dyDescent="0.3">
      <c r="B14" s="9" t="s">
        <v>84</v>
      </c>
      <c r="C14" s="36">
        <f>'3 Statement Model'!C41/SUM('3 Statement Model'!C39:C40)</f>
        <v>2.6928343222272933E-2</v>
      </c>
      <c r="D14" s="36">
        <f>'3 Statement Model'!D41/SUM('3 Statement Model'!D39:D40)</f>
        <v>4.1073546856465006E-2</v>
      </c>
      <c r="E14" s="36">
        <f>'3 Statement Model'!E41/SUM('3 Statement Model'!E39:E40)</f>
        <v>0</v>
      </c>
      <c r="F14" s="36">
        <f>'3 Statement Model'!F41/SUM('3 Statement Model'!F39:F40)</f>
        <v>1.258421253336723E-2</v>
      </c>
      <c r="G14" s="36">
        <f>'3 Statement Model'!G41/SUM('3 Statement Model'!G39:G40)</f>
        <v>0</v>
      </c>
      <c r="H14" s="36">
        <f>'3 Statement Model'!H41/SUM('3 Statement Model'!H39:H40)</f>
        <v>0</v>
      </c>
      <c r="I14" s="36">
        <f>'3 Statement Model'!I41/SUM('3 Statement Model'!I39:I40)</f>
        <v>2.1259248690405821E-2</v>
      </c>
      <c r="J14" s="36">
        <f>'3 Statement Model'!J41/SUM('3 Statement Model'!J39:J40)</f>
        <v>2.4232665394402036E-2</v>
      </c>
      <c r="K14" s="36">
        <f>'3 Statement Model'!K41/SUM('3 Statement Model'!K39:K40)</f>
        <v>2.8974188761763442E-2</v>
      </c>
      <c r="L14" s="36">
        <f>'3 Statement Model'!L41/SUM('3 Statement Model'!L39:L40)</f>
        <v>3.3358973320918181E-2</v>
      </c>
      <c r="M14" s="56">
        <f>'3 Statement Model'!M41/SUM('3 Statement Model'!M39:M40)</f>
        <v>2.513317054767494E-2</v>
      </c>
      <c r="N14" s="56">
        <f>'3 Statement Model'!N41/SUM('3 Statement Model'!N39:N40)</f>
        <v>2.62747352394102E-2</v>
      </c>
      <c r="O14" s="56">
        <f>'3 Statement Model'!O41/SUM('3 Statement Model'!O39:O40)</f>
        <v>2.7925415328239864E-2</v>
      </c>
      <c r="P14" s="56">
        <f>'3 Statement Model'!P41/SUM('3 Statement Model'!P39:P40)</f>
        <v>2.9109480269748182E-2</v>
      </c>
      <c r="Q14" s="56">
        <f>'3 Statement Model'!Q41/SUM('3 Statement Model'!Q39:Q40)</f>
        <v>3.0700153079004755E-2</v>
      </c>
    </row>
    <row r="15" spans="1:17" x14ac:dyDescent="0.3">
      <c r="B15" s="9" t="s">
        <v>85</v>
      </c>
      <c r="C15" s="36">
        <f>'3 Statement Model'!C41/'3 Statement Model'!C58</f>
        <v>1.1965118637193267E-2</v>
      </c>
      <c r="D15" s="36">
        <f>'3 Statement Model'!D41/'3 Statement Model'!D58</f>
        <v>1.7636572010696547E-2</v>
      </c>
      <c r="E15" s="36">
        <f>'3 Statement Model'!E41/'3 Statement Model'!E58</f>
        <v>0</v>
      </c>
      <c r="F15" s="36">
        <f>'3 Statement Model'!F41/'3 Statement Model'!F58</f>
        <v>5.3142949165279939E-3</v>
      </c>
      <c r="G15" s="36">
        <f>'3 Statement Model'!G41/'3 Statement Model'!G58</f>
        <v>0</v>
      </c>
      <c r="H15" s="36">
        <f>'3 Statement Model'!H41/'3 Statement Model'!H58</f>
        <v>0</v>
      </c>
      <c r="I15" s="36">
        <f>'3 Statement Model'!I41/'3 Statement Model'!I58</f>
        <v>1.4793067256687375E-2</v>
      </c>
      <c r="J15" s="36">
        <f>'3 Statement Model'!J41/'3 Statement Model'!J58</f>
        <v>1.668103507259466E-2</v>
      </c>
      <c r="K15" s="36">
        <f>'3 Statement Model'!K41/'3 Statement Model'!K58</f>
        <v>1.8907108002395239E-2</v>
      </c>
      <c r="L15" s="36">
        <f>'3 Statement Model'!L41/'3 Statement Model'!L58</f>
        <v>2.0635338016353005E-2</v>
      </c>
      <c r="M15" s="56">
        <f>'3 Statement Model'!M41/'3 Statement Model'!M58</f>
        <v>1.6831647309929861E-2</v>
      </c>
      <c r="N15" s="56">
        <f>'3 Statement Model'!N41/'3 Statement Model'!N58</f>
        <v>1.7741129170880325E-2</v>
      </c>
      <c r="O15" s="56">
        <f>'3 Statement Model'!O41/'3 Statement Model'!O58</f>
        <v>1.8956389798750979E-2</v>
      </c>
      <c r="P15" s="56">
        <f>'3 Statement Model'!P41/'3 Statement Model'!P58</f>
        <v>1.9773923882869957E-2</v>
      </c>
      <c r="Q15" s="56">
        <f>'3 Statement Model'!Q41/'3 Statement Model'!Q58</f>
        <v>2.080456317166782E-2</v>
      </c>
    </row>
    <row r="16" spans="1:17" x14ac:dyDescent="0.3">
      <c r="B16" s="9" t="s">
        <v>86</v>
      </c>
      <c r="C16" s="36">
        <f>'3 Statement Model'!C22/'3 Statement Model'!C25</f>
        <v>326.88235294117646</v>
      </c>
      <c r="D16" s="36">
        <f>'3 Statement Model'!D22/'3 Statement Model'!D25</f>
        <v>168.45714285714286</v>
      </c>
      <c r="E16" s="36">
        <f>'3 Statement Model'!E22/'3 Statement Model'!E25</f>
        <v>268.42307692307691</v>
      </c>
      <c r="F16" s="36">
        <f>'3 Statement Model'!F22/'3 Statement Model'!F25</f>
        <v>251.96969696969697</v>
      </c>
      <c r="G16" s="36">
        <f>'3 Statement Model'!G22/'3 Statement Model'!G25</f>
        <v>75.076271186440678</v>
      </c>
      <c r="H16" s="36">
        <f>'3 Statement Model'!H22/'3 Statement Model'!H25</f>
        <v>90.188034188034194</v>
      </c>
      <c r="I16" s="36">
        <f>'3 Statement Model'!I22/'3 Statement Model'!I25</f>
        <v>111</v>
      </c>
      <c r="J16" s="36">
        <f>'3 Statement Model'!J22/'3 Statement Model'!J25</f>
        <v>114.12280701754386</v>
      </c>
      <c r="K16" s="36">
        <f>'3 Statement Model'!K22/'3 Statement Model'!K25</f>
        <v>40.248502994011979</v>
      </c>
      <c r="L16" s="36">
        <f>'3 Statement Model'!L22/'3 Statement Model'!L25</f>
        <v>34.146835443037972</v>
      </c>
      <c r="M16" s="56">
        <f>'3 Statement Model'!M22/'3 Statement Model'!M25</f>
        <v>45.823520334182916</v>
      </c>
      <c r="N16" s="56">
        <f>'3 Statement Model'!N22/'3 Statement Model'!N25</f>
        <v>42.469836824299747</v>
      </c>
      <c r="O16" s="56">
        <f>'3 Statement Model'!O22/'3 Statement Model'!O25</f>
        <v>39.256871689802018</v>
      </c>
      <c r="P16" s="56">
        <f>'3 Statement Model'!P22/'3 Statement Model'!P25</f>
        <v>36.933159968680357</v>
      </c>
      <c r="Q16" s="56">
        <f>'3 Statement Model'!Q22/'3 Statement Model'!Q25</f>
        <v>35.430533010283668</v>
      </c>
    </row>
    <row r="17" spans="2:19" x14ac:dyDescent="0.3">
      <c r="M17" s="47"/>
      <c r="N17" s="47"/>
      <c r="O17" s="47"/>
      <c r="P17" s="47"/>
      <c r="Q17" s="47"/>
    </row>
    <row r="18" spans="2:19" x14ac:dyDescent="0.3">
      <c r="B18" s="25" t="s">
        <v>105</v>
      </c>
      <c r="M18" s="47"/>
      <c r="N18" s="47"/>
      <c r="O18" s="47"/>
      <c r="P18" s="47"/>
      <c r="Q18" s="47"/>
    </row>
    <row r="19" spans="2:19" x14ac:dyDescent="0.3">
      <c r="B19" s="9" t="s">
        <v>87</v>
      </c>
      <c r="C19" s="4">
        <f>'3 Statement Model'!C6/'3 Statement Model'!C58</f>
        <v>2.1757588048401271</v>
      </c>
      <c r="D19" s="4">
        <f>'3 Statement Model'!D6/'3 Statement Model'!D58</f>
        <v>2.1114223863491661</v>
      </c>
      <c r="E19" s="4">
        <f>'3 Statement Model'!E6/'3 Statement Model'!E58</f>
        <v>1.989978725786586</v>
      </c>
      <c r="F19" s="4">
        <f>'3 Statement Model'!F6/'3 Statement Model'!F58</f>
        <v>2.1101508400880347</v>
      </c>
      <c r="G19" s="4">
        <f>'3 Statement Model'!G6/'3 Statement Model'!G58</f>
        <v>1.974048528755024</v>
      </c>
      <c r="H19" s="4">
        <f>'3 Statement Model'!H6/'3 Statement Model'!H58</f>
        <v>0.68414314809426824</v>
      </c>
      <c r="I19" s="4">
        <f>'3 Statement Model'!I6/'3 Statement Model'!I58</f>
        <v>0.74385158709897026</v>
      </c>
      <c r="J19" s="4">
        <f>'3 Statement Model'!J6/'3 Statement Model'!J58</f>
        <v>0.82898860106463046</v>
      </c>
      <c r="K19" s="4">
        <f>'3 Statement Model'!K6/'3 Statement Model'!K58</f>
        <v>0.78859458013224781</v>
      </c>
      <c r="L19" s="4">
        <f>'3 Statement Model'!L6/'3 Statement Model'!L58</f>
        <v>0.79036600177804495</v>
      </c>
      <c r="M19" s="55">
        <f>'3 Statement Model'!M6/'3 Statement Model'!M58</f>
        <v>0.71089712614277756</v>
      </c>
      <c r="N19" s="55">
        <f>'3 Statement Model'!N6/'3 Statement Model'!N58</f>
        <v>0.67811448725524515</v>
      </c>
      <c r="O19" s="55">
        <f>'3 Statement Model'!O6/'3 Statement Model'!O58</f>
        <v>0.65272452203309006</v>
      </c>
      <c r="P19" s="55">
        <f>'3 Statement Model'!P6/'3 Statement Model'!P58</f>
        <v>0.63541626567206733</v>
      </c>
      <c r="Q19" s="55">
        <f>'3 Statement Model'!Q6/'3 Statement Model'!Q58</f>
        <v>0.63151438009636107</v>
      </c>
    </row>
    <row r="20" spans="2:19" x14ac:dyDescent="0.3">
      <c r="B20" s="9" t="s">
        <v>88</v>
      </c>
      <c r="C20" s="4">
        <f>'3 Statement Model'!C9/'3 Statement Model'!C54</f>
        <v>6.6845194424064562</v>
      </c>
      <c r="D20" s="4">
        <f>'3 Statement Model'!D9/'3 Statement Model'!D54</f>
        <v>7.3494687131050771</v>
      </c>
      <c r="E20" s="4">
        <f>'3 Statement Model'!E9/'3 Statement Model'!E54</f>
        <v>7.685634699562276</v>
      </c>
      <c r="F20" s="4">
        <f>'3 Statement Model'!F9/'3 Statement Model'!F54</f>
        <v>8.1899766899766906</v>
      </c>
      <c r="G20" s="4">
        <f>'3 Statement Model'!G9/'3 Statement Model'!G54</f>
        <v>7.4499457896638956</v>
      </c>
      <c r="H20" s="4">
        <f>'3 Statement Model'!H9/'3 Statement Model'!H54</f>
        <v>7.0692930986309026</v>
      </c>
      <c r="I20" s="4">
        <f>'3 Statement Model'!I9/'3 Statement Model'!I54</f>
        <v>7.09619140625</v>
      </c>
      <c r="J20" s="4">
        <f>'3 Statement Model'!J9/'3 Statement Model'!J54</f>
        <v>8.3229828275699838</v>
      </c>
      <c r="K20" s="4">
        <f>'3 Statement Model'!K9/'3 Statement Model'!K54</f>
        <v>8.3667329686723022</v>
      </c>
      <c r="L20" s="4">
        <f>'3 Statement Model'!L9/'3 Statement Model'!L54</f>
        <v>7.8208380520951302</v>
      </c>
      <c r="M20" s="55">
        <f>'3 Statement Model'!M9/'3 Statement Model'!M54</f>
        <v>8.0525333563642789</v>
      </c>
      <c r="N20" s="55">
        <f>'3 Statement Model'!N9/'3 Statement Model'!N54</f>
        <v>8.037669161470264</v>
      </c>
      <c r="O20" s="55">
        <f>'3 Statement Model'!O9/'3 Statement Model'!O54</f>
        <v>8.0694404601028893</v>
      </c>
      <c r="P20" s="55">
        <f>'3 Statement Model'!P9/'3 Statement Model'!P54</f>
        <v>8.1301872218908731</v>
      </c>
      <c r="Q20" s="55">
        <f>'3 Statement Model'!Q9/'3 Statement Model'!Q54</f>
        <v>8.2563368842097091</v>
      </c>
    </row>
    <row r="21" spans="2:19" x14ac:dyDescent="0.3">
      <c r="B21" s="9" t="s">
        <v>89</v>
      </c>
      <c r="C21" s="4">
        <f>'3 Statement Model'!C6/'3 Statement Model'!C53</f>
        <v>25.463607594936708</v>
      </c>
      <c r="D21" s="4">
        <f>'3 Statement Model'!D6/'3 Statement Model'!D53</f>
        <v>30.56405529953917</v>
      </c>
      <c r="E21" s="4">
        <f>'3 Statement Model'!E6/'3 Statement Model'!E53</f>
        <v>27.133587786259543</v>
      </c>
      <c r="F21" s="4">
        <f>'3 Statement Model'!F6/'3 Statement Model'!F53</f>
        <v>21.646475770925111</v>
      </c>
      <c r="G21" s="4">
        <f>'3 Statement Model'!G6/'3 Statement Model'!G53</f>
        <v>34.624020887728463</v>
      </c>
      <c r="H21" s="4">
        <f>'3 Statement Model'!H6/'3 Statement Model'!H53</f>
        <v>26.750853242320819</v>
      </c>
      <c r="I21" s="4">
        <f>'3 Statement Model'!I6/'3 Statement Model'!I53</f>
        <v>23.455277280858677</v>
      </c>
      <c r="J21" s="4">
        <f>'3 Statement Model'!J6/'3 Statement Model'!J53</f>
        <v>19.67521922702176</v>
      </c>
      <c r="K21" s="4">
        <f>'3 Statement Model'!K6/'3 Statement Model'!K53</f>
        <v>20.652652652652652</v>
      </c>
      <c r="L21" s="4">
        <f>'3 Statement Model'!L6/'3 Statement Model'!L53</f>
        <v>16.52814873003404</v>
      </c>
      <c r="M21" s="55">
        <f>'3 Statement Model'!M6/'3 Statement Model'!M53</f>
        <v>18.839649293534254</v>
      </c>
      <c r="N21" s="55">
        <f>'3 Statement Model'!N6/'3 Statement Model'!N53</f>
        <v>18.093833464858658</v>
      </c>
      <c r="O21" s="55">
        <f>'3 Statement Model'!O6/'3 Statement Model'!O53</f>
        <v>17.595960741144477</v>
      </c>
      <c r="P21" s="55">
        <f>'3 Statement Model'!P6/'3 Statement Model'!P53</f>
        <v>17.087624816747663</v>
      </c>
      <c r="Q21" s="55">
        <f>'3 Statement Model'!Q6/'3 Statement Model'!Q53</f>
        <v>16.386232069793369</v>
      </c>
    </row>
    <row r="22" spans="2:19" x14ac:dyDescent="0.3">
      <c r="B22" s="9" t="s">
        <v>90</v>
      </c>
      <c r="C22" s="4">
        <f>'3 Statement Model'!C9/'3 Statement Model'!C43</f>
        <v>3.2052770448548813</v>
      </c>
      <c r="D22" s="4">
        <f>'3 Statement Model'!D9/'3 Statement Model'!D43</f>
        <v>3.0189136760426769</v>
      </c>
      <c r="E22" s="4">
        <f>'3 Statement Model'!E9/'3 Statement Model'!E43</f>
        <v>2.6937238493723847</v>
      </c>
      <c r="F22" s="4">
        <f>'3 Statement Model'!F9/'3 Statement Model'!F43</f>
        <v>2.9254787676935887</v>
      </c>
      <c r="G22" s="4">
        <f>'3 Statement Model'!G9/'3 Statement Model'!G43</f>
        <v>2.7357664233576644</v>
      </c>
      <c r="H22" s="4">
        <f>'3 Statement Model'!H9/'3 Statement Model'!H43</f>
        <v>2.8744603499204726</v>
      </c>
      <c r="I22" s="4">
        <f>'3 Statement Model'!I9/'3 Statement Model'!I43</f>
        <v>3.205337450374945</v>
      </c>
      <c r="J22" s="4">
        <f>'3 Statement Model'!J9/'3 Statement Model'!J43</f>
        <v>3.6955295592228952</v>
      </c>
      <c r="K22" s="4">
        <f>'3 Statement Model'!K9/'3 Statement Model'!K43</f>
        <v>3.2091359908449362</v>
      </c>
      <c r="L22" s="4">
        <f>'3 Statement Model'!L9/'3 Statement Model'!L43</f>
        <v>3.0516129032258066</v>
      </c>
      <c r="M22" s="55">
        <f>'3 Statement Model'!M9/'3 Statement Model'!M43</f>
        <v>3.2348246083688545</v>
      </c>
      <c r="N22" s="55">
        <f>'3 Statement Model'!N9/'3 Statement Model'!N43</f>
        <v>3.300509209362593</v>
      </c>
      <c r="O22" s="55">
        <f>'3 Statement Model'!O9/'3 Statement Model'!O43</f>
        <v>3.3598475946252577</v>
      </c>
      <c r="P22" s="55">
        <f>'3 Statement Model'!P9/'3 Statement Model'!P43</f>
        <v>3.3755943661333085</v>
      </c>
      <c r="Q22" s="55">
        <f>'3 Statement Model'!Q9/'3 Statement Model'!Q43</f>
        <v>3.404320600403278</v>
      </c>
      <c r="S22" s="54"/>
    </row>
    <row r="23" spans="2:19" x14ac:dyDescent="0.3">
      <c r="B23" s="9" t="s">
        <v>91</v>
      </c>
      <c r="C23" s="4">
        <f>'3 Statement Model'!C6/'3 Statement Model'!C47</f>
        <v>9.8790669122160839</v>
      </c>
      <c r="D23" s="4">
        <f>'3 Statement Model'!D6/'3 Statement Model'!D47</f>
        <v>7.5044127630685677</v>
      </c>
      <c r="E23" s="4">
        <f>'3 Statement Model'!E6/'3 Statement Model'!E47</f>
        <v>7.8500441696113077</v>
      </c>
      <c r="F23" s="4">
        <f>'3 Statement Model'!F6/'3 Statement Model'!F47</f>
        <v>8.3372216330858961</v>
      </c>
      <c r="G23" s="4">
        <f>'3 Statement Model'!G6/'3 Statement Model'!G47</f>
        <v>7.2609965322139081</v>
      </c>
      <c r="H23" s="4">
        <f>'3 Statement Model'!H6/'3 Statement Model'!H47</f>
        <v>0.91417685593763975</v>
      </c>
      <c r="I23" s="4">
        <f>'3 Statement Model'!I6/'3 Statement Model'!I47</f>
        <v>1.018903114254075</v>
      </c>
      <c r="J23" s="4">
        <f>'3 Statement Model'!J6/'3 Statement Model'!J47</f>
        <v>1.1500056949770303</v>
      </c>
      <c r="K23" s="4">
        <f>'3 Statement Model'!K6/'3 Statement Model'!K47</f>
        <v>1.1516820482286394</v>
      </c>
      <c r="L23" s="4">
        <f>'3 Statement Model'!L6/'3 Statement Model'!L47</f>
        <v>1.1617005613324745</v>
      </c>
      <c r="M23" s="55">
        <f>'3 Statement Model'!M6/'3 Statement Model'!M47</f>
        <v>0.97914803133643702</v>
      </c>
      <c r="N23" s="55">
        <f>'3 Statement Model'!N6/'3 Statement Model'!N47</f>
        <v>0.92111978371015402</v>
      </c>
      <c r="O23" s="55">
        <f>'3 Statement Model'!O6/'3 Statement Model'!O47</f>
        <v>0.87615824859466518</v>
      </c>
      <c r="P23" s="55">
        <f>'3 Statement Model'!P6/'3 Statement Model'!P47</f>
        <v>0.84847134881862862</v>
      </c>
      <c r="Q23" s="55">
        <f>'3 Statement Model'!Q6/'3 Statement Model'!Q47</f>
        <v>0.84333913592535181</v>
      </c>
    </row>
    <row r="24" spans="2:19" x14ac:dyDescent="0.3">
      <c r="C24" s="4"/>
      <c r="D24" s="4"/>
      <c r="E24" s="4"/>
      <c r="F24" s="4"/>
      <c r="G24" s="4"/>
      <c r="H24" s="4"/>
      <c r="I24" s="4"/>
      <c r="J24" s="4"/>
      <c r="K24" s="4"/>
      <c r="L24" s="4"/>
      <c r="M24" s="47"/>
      <c r="N24" s="47"/>
      <c r="O24" s="47"/>
      <c r="P24" s="47"/>
      <c r="Q24" s="47"/>
    </row>
    <row r="25" spans="2:19" x14ac:dyDescent="0.3">
      <c r="B25" s="25" t="s">
        <v>106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7"/>
      <c r="N25" s="47"/>
      <c r="O25" s="47"/>
      <c r="P25" s="47"/>
      <c r="Q25" s="47"/>
    </row>
    <row r="26" spans="2:19" x14ac:dyDescent="0.3">
      <c r="B26" s="9" t="s">
        <v>92</v>
      </c>
      <c r="C26" s="4"/>
      <c r="D26" s="4"/>
      <c r="E26" s="4"/>
      <c r="F26" s="4"/>
      <c r="G26" s="4"/>
      <c r="H26" s="4"/>
      <c r="I26" s="4">
        <f>'3 Statement Model'!I56/'Data Sheet'!H80</f>
        <v>0.9023049645390071</v>
      </c>
      <c r="J26" s="4">
        <f>'3 Statement Model'!J56/'Data Sheet'!I80</f>
        <v>0.99833721316927171</v>
      </c>
      <c r="K26" s="4">
        <f>'3 Statement Model'!K56/'Data Sheet'!J80</f>
        <v>1.1319201801382095</v>
      </c>
      <c r="L26" s="4">
        <f>'3 Statement Model'!L56/'Data Sheet'!K80</f>
        <v>0.95470762532502873</v>
      </c>
      <c r="M26" s="55">
        <f>FORECAST(M$3,$I26:$L26,$I$3:$L$3)</f>
        <v>1.0695230609085478</v>
      </c>
      <c r="N26" s="55">
        <f t="shared" ref="N26:Q28" si="0">FORECAST(N$3,$I26:$L26,$I$3:$L$3)</f>
        <v>1.098589360215469</v>
      </c>
      <c r="O26" s="55">
        <f t="shared" si="0"/>
        <v>1.1277352932191214</v>
      </c>
      <c r="P26" s="55">
        <f t="shared" si="0"/>
        <v>1.1568015925260426</v>
      </c>
      <c r="Q26" s="55">
        <f t="shared" si="0"/>
        <v>1.1858678918329635</v>
      </c>
    </row>
    <row r="27" spans="2:19" x14ac:dyDescent="0.3">
      <c r="B27" s="9" t="s">
        <v>93</v>
      </c>
      <c r="C27" s="4"/>
      <c r="D27" s="4"/>
      <c r="E27" s="4"/>
      <c r="F27" s="4"/>
      <c r="G27" s="4"/>
      <c r="H27" s="4"/>
      <c r="I27" s="4">
        <f>('3 Statement Model'!I56-'3 Statement Model'!I54)/'Data Sheet'!H80</f>
        <v>0.53918439716312061</v>
      </c>
      <c r="J27" s="4">
        <f>('3 Statement Model'!J56-'3 Statement Model'!J54)/'Data Sheet'!I80</f>
        <v>0.64491187229797142</v>
      </c>
      <c r="K27" s="4">
        <f>('3 Statement Model'!K56-'3 Statement Model'!K54)/'Data Sheet'!J80</f>
        <v>0.8196288531718301</v>
      </c>
      <c r="L27" s="4">
        <f>('3 Statement Model'!L56-'3 Statement Model'!L54)/'Data Sheet'!K80</f>
        <v>0.68773054362943697</v>
      </c>
      <c r="M27" s="55">
        <f>FORECAST(M$3,$I27:$L27,$I$3:$L$3)</f>
        <v>0.82791920626914361</v>
      </c>
      <c r="N27" s="55">
        <f t="shared" si="0"/>
        <v>0.88990735604110061</v>
      </c>
      <c r="O27" s="55">
        <f t="shared" si="0"/>
        <v>0.95206533636037882</v>
      </c>
      <c r="P27" s="55">
        <f t="shared" si="0"/>
        <v>1.0140534861323367</v>
      </c>
      <c r="Q27" s="55">
        <f t="shared" si="0"/>
        <v>1.0760416359042928</v>
      </c>
    </row>
    <row r="28" spans="2:19" x14ac:dyDescent="0.3">
      <c r="B28" s="9" t="s">
        <v>94</v>
      </c>
      <c r="C28" s="4"/>
      <c r="D28" s="4"/>
      <c r="E28" s="4"/>
      <c r="F28" s="4"/>
      <c r="G28" s="4"/>
      <c r="H28" s="4"/>
      <c r="I28" s="4">
        <f>'3 Statement Model'!I55/'Data Sheet'!H80</f>
        <v>0.34095744680851064</v>
      </c>
      <c r="J28" s="4">
        <f>'3 Statement Model'!J55/'Data Sheet'!I80</f>
        <v>0.38892583970734951</v>
      </c>
      <c r="K28" s="4">
        <f>'3 Statement Model'!K55/'Data Sheet'!J80</f>
        <v>0.58692445065610688</v>
      </c>
      <c r="L28" s="4">
        <f>'3 Statement Model'!L55/'Data Sheet'!K80</f>
        <v>0.45679385620124568</v>
      </c>
      <c r="M28" s="55">
        <f>FORECAST(M$3,$I28:$L28,$I$3:$L$3)</f>
        <v>0.5797680657475297</v>
      </c>
      <c r="N28" s="55">
        <f t="shared" si="0"/>
        <v>0.634285260273864</v>
      </c>
      <c r="O28" s="55">
        <f t="shared" si="0"/>
        <v>0.68895181697698238</v>
      </c>
      <c r="P28" s="55">
        <f t="shared" si="0"/>
        <v>0.74346901150331579</v>
      </c>
      <c r="Q28" s="55">
        <f t="shared" si="0"/>
        <v>0.79798620602965009</v>
      </c>
    </row>
    <row r="29" spans="2:19" x14ac:dyDescent="0.3">
      <c r="C29" s="4"/>
      <c r="D29" s="4"/>
      <c r="E29" s="4"/>
      <c r="F29" s="4"/>
      <c r="G29" s="4"/>
      <c r="H29" s="4"/>
      <c r="I29" s="4"/>
      <c r="J29" s="4"/>
      <c r="K29" s="4"/>
      <c r="L29" s="4"/>
      <c r="M29" s="47"/>
      <c r="N29" s="47"/>
      <c r="O29" s="47"/>
      <c r="P29" s="47"/>
      <c r="Q29" s="47"/>
    </row>
    <row r="30" spans="2:19" x14ac:dyDescent="0.3">
      <c r="B30" s="25" t="s">
        <v>107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7"/>
      <c r="N30" s="47"/>
      <c r="O30" s="47"/>
      <c r="P30" s="47"/>
      <c r="Q30" s="47"/>
    </row>
    <row r="31" spans="2:19" x14ac:dyDescent="0.3">
      <c r="B31" s="9" t="s">
        <v>95</v>
      </c>
      <c r="C31" s="36">
        <f>'3 Statement Model'!C33/'Data Sheet'!B131</f>
        <v>16.937011876704101</v>
      </c>
      <c r="D31" s="36">
        <f>'3 Statement Model'!D33/'Data Sheet'!C131</f>
        <v>17.945756133622879</v>
      </c>
      <c r="E31" s="36">
        <f>'3 Statement Model'!E33/'Data Sheet'!D131</f>
        <v>22.51790251790252</v>
      </c>
      <c r="F31" s="36">
        <f>'3 Statement Model'!F33/'Data Sheet'!E131</f>
        <v>26.507137247655564</v>
      </c>
      <c r="G31" s="36">
        <f>'3 Statement Model'!G33/'Data Sheet'!F131</f>
        <v>29.249815225424982</v>
      </c>
      <c r="H31" s="36">
        <f>'3 Statement Model'!H33/'Data Sheet'!G131</f>
        <v>33.320565202587673</v>
      </c>
      <c r="I31" s="36">
        <f>'3 Statement Model'!I33/'Data Sheet'!H131</f>
        <v>36.912665985699689</v>
      </c>
      <c r="J31" s="36">
        <f>'3 Statement Model'!J33/'Data Sheet'!I131</f>
        <v>41.262342526387471</v>
      </c>
      <c r="K31" s="36">
        <f>'3 Statement Model'!K33/'Data Sheet'!J131</f>
        <v>40.283452502553622</v>
      </c>
      <c r="L31" s="36">
        <f>'3 Statement Model'!L33/'Data Sheet'!$K$131</f>
        <v>39.789751447054819</v>
      </c>
      <c r="M31" s="56">
        <f>FORECAST(M$3,$I31:$L31,$I$3:$L$3)</f>
        <v>41.473301913443784</v>
      </c>
      <c r="N31" s="56">
        <f t="shared" ref="N31:Q33" si="1">FORECAST(N$3,$I31:$L31,$I$3:$L$3)</f>
        <v>42.237382758216249</v>
      </c>
      <c r="O31" s="56">
        <f t="shared" si="1"/>
        <v>43.003556975166184</v>
      </c>
      <c r="P31" s="56">
        <f t="shared" si="1"/>
        <v>43.767637819938649</v>
      </c>
      <c r="Q31" s="56">
        <f t="shared" si="1"/>
        <v>44.531718664711114</v>
      </c>
    </row>
    <row r="32" spans="2:19" x14ac:dyDescent="0.3">
      <c r="B32" s="9" t="s">
        <v>96</v>
      </c>
      <c r="C32" s="36">
        <f>'Data Sheet'!B128/'Ratio Analysis'!C31</f>
        <v>49.133224092769431</v>
      </c>
      <c r="D32" s="36">
        <f>'Data Sheet'!C128/'Ratio Analysis'!D31</f>
        <v>48.624866709577759</v>
      </c>
      <c r="E32" s="36">
        <f>'Data Sheet'!D128/'Ratio Analysis'!E31</f>
        <v>56.670908801805489</v>
      </c>
      <c r="F32" s="36">
        <f>'Data Sheet'!E128/'Ratio Analysis'!F31</f>
        <v>61.626043760892294</v>
      </c>
      <c r="G32" s="36">
        <f>'Data Sheet'!F128/'Ratio Analysis'!G31</f>
        <v>75.208338344914722</v>
      </c>
      <c r="H32" s="36">
        <f>'Data Sheet'!G128/'Ratio Analysis'!H31</f>
        <v>69.84035192234002</v>
      </c>
      <c r="I32" s="36">
        <f>'Data Sheet'!H128/'Ratio Analysis'!I31</f>
        <v>53.117268765133176</v>
      </c>
      <c r="J32" s="36">
        <f>'Data Sheet'!I128/'Ratio Analysis'!J31</f>
        <v>59.386836761217126</v>
      </c>
      <c r="K32" s="36">
        <f>'Data Sheet'!J128/'Ratio Analysis'!K31</f>
        <v>53.797275689381934</v>
      </c>
      <c r="L32" s="36">
        <f>'Data Sheet'!K128/'Ratio Analysis'!L31</f>
        <v>54.332583677398652</v>
      </c>
      <c r="M32" s="56">
        <f>FORECAST(M$3,$I32:$L32,$I$3:$L$3)</f>
        <v>54.670393725496922</v>
      </c>
      <c r="N32" s="56">
        <f t="shared" si="1"/>
        <v>54.475261648068852</v>
      </c>
      <c r="O32" s="56">
        <f t="shared" si="1"/>
        <v>54.279594962209487</v>
      </c>
      <c r="P32" s="56">
        <f t="shared" si="1"/>
        <v>54.084462884781416</v>
      </c>
      <c r="Q32" s="56">
        <f t="shared" si="1"/>
        <v>53.88933080735336</v>
      </c>
    </row>
    <row r="33" spans="2:17" x14ac:dyDescent="0.3">
      <c r="B33" s="9" t="s">
        <v>97</v>
      </c>
      <c r="C33" s="36">
        <f>SUM('3 Statement Model'!C39:C40)/'Data Sheet'!B131</f>
        <v>30.375710522667408</v>
      </c>
      <c r="D33" s="36">
        <f>SUM('3 Statement Model'!D39:D40)/'Data Sheet'!C131</f>
        <v>31.16019036177979</v>
      </c>
      <c r="E33" s="36">
        <f>SUM('3 Statement Model'!E39:E40)/'Data Sheet'!D131</f>
        <v>33.638253638253637</v>
      </c>
      <c r="F33" s="36">
        <f>SUM('3 Statement Model'!F39:F40)/'Data Sheet'!E131</f>
        <v>36.34221832124544</v>
      </c>
      <c r="G33" s="36">
        <f>SUM('3 Statement Model'!G39:G40)/'Data Sheet'!F131</f>
        <v>38.012749445676278</v>
      </c>
      <c r="H33" s="36">
        <f>SUM('3 Statement Model'!H39:H40)/'Data Sheet'!G131</f>
        <v>202.90262172284645</v>
      </c>
      <c r="I33" s="36">
        <f>SUM('3 Statement Model'!I39:I40)/'Data Sheet'!H131</f>
        <v>208.80575417092271</v>
      </c>
      <c r="J33" s="36">
        <f>SUM('3 Statement Model'!J39:J40)/'Data Sheet'!I131</f>
        <v>214.09601634320734</v>
      </c>
      <c r="K33" s="36">
        <f>SUM('3 Statement Model'!K39:K40)/'Data Sheet'!J131</f>
        <v>217.98604017705139</v>
      </c>
      <c r="L33" s="36">
        <f>SUM('3 Statement Model'!L39:L40)/'Data Sheet'!K131</f>
        <v>210.25706503234593</v>
      </c>
      <c r="M33" s="56">
        <f>FORECAST(M$3,$I33:$L33,$I$3:$L$3)</f>
        <v>214.84747687752173</v>
      </c>
      <c r="N33" s="56">
        <f t="shared" si="1"/>
        <v>215.67152852103055</v>
      </c>
      <c r="O33" s="56">
        <f t="shared" si="1"/>
        <v>216.49783784027505</v>
      </c>
      <c r="P33" s="56">
        <f t="shared" si="1"/>
        <v>217.32188948378388</v>
      </c>
      <c r="Q33" s="56">
        <f t="shared" si="1"/>
        <v>218.1459411272927</v>
      </c>
    </row>
    <row r="34" spans="2:17" x14ac:dyDescent="0.3">
      <c r="M34" s="56"/>
      <c r="N34" s="47"/>
      <c r="O34" s="47"/>
      <c r="P34" s="47"/>
      <c r="Q34" s="47"/>
    </row>
    <row r="35" spans="2:17" x14ac:dyDescent="0.3">
      <c r="B35" s="25" t="s">
        <v>108</v>
      </c>
      <c r="M35" s="47"/>
      <c r="N35" s="47"/>
      <c r="O35" s="47"/>
      <c r="P35" s="47"/>
      <c r="Q35" s="47"/>
    </row>
    <row r="36" spans="2:17" x14ac:dyDescent="0.3">
      <c r="B36" s="39" t="s">
        <v>102</v>
      </c>
      <c r="M36" s="47"/>
      <c r="N36" s="47"/>
      <c r="O36" s="47"/>
      <c r="P36" s="47"/>
      <c r="Q36" s="47"/>
    </row>
    <row r="37" spans="2:17" x14ac:dyDescent="0.3">
      <c r="B37" s="9" t="s">
        <v>98</v>
      </c>
      <c r="C37" s="37">
        <f t="shared" ref="C37:L37" si="2">365/C20</f>
        <v>54.603775655800682</v>
      </c>
      <c r="D37" s="37">
        <f t="shared" si="2"/>
        <v>49.663453815261043</v>
      </c>
      <c r="E37" s="37">
        <f t="shared" si="2"/>
        <v>47.491198094646371</v>
      </c>
      <c r="F37" s="37">
        <f t="shared" si="2"/>
        <v>44.566671410274651</v>
      </c>
      <c r="G37" s="37">
        <f t="shared" si="2"/>
        <v>48.993645095566123</v>
      </c>
      <c r="H37" s="37">
        <f t="shared" si="2"/>
        <v>51.631753685625071</v>
      </c>
      <c r="I37" s="37">
        <f t="shared" si="2"/>
        <v>51.436042111057596</v>
      </c>
      <c r="J37" s="37">
        <f t="shared" si="2"/>
        <v>43.854469913230261</v>
      </c>
      <c r="K37" s="37">
        <f t="shared" si="2"/>
        <v>43.625152298594394</v>
      </c>
      <c r="L37" s="37">
        <f t="shared" si="2"/>
        <v>46.670190274841438</v>
      </c>
      <c r="M37" s="57">
        <f>FORECAST(M$3,$I37:$L37,$I$3:$L$3)</f>
        <v>42.767291959433294</v>
      </c>
      <c r="N37" s="57">
        <f t="shared" ref="N37:Q39" si="3">FORECAST(N$3,$I37:$L37,$I$3:$L$3)</f>
        <v>41.316418282709151</v>
      </c>
      <c r="O37" s="57">
        <f t="shared" si="3"/>
        <v>39.861569609610427</v>
      </c>
      <c r="P37" s="57">
        <f t="shared" si="3"/>
        <v>38.410695932886284</v>
      </c>
      <c r="Q37" s="57">
        <f t="shared" si="3"/>
        <v>36.95982225616217</v>
      </c>
    </row>
    <row r="38" spans="2:17" x14ac:dyDescent="0.3">
      <c r="B38" s="9" t="s">
        <v>99</v>
      </c>
      <c r="C38" s="37">
        <f t="shared" ref="C38:L38" si="4">365/C21</f>
        <v>14.334182563847637</v>
      </c>
      <c r="D38" s="37">
        <f t="shared" si="4"/>
        <v>11.942132561365419</v>
      </c>
      <c r="E38" s="37">
        <f t="shared" si="4"/>
        <v>13.4519623013082</v>
      </c>
      <c r="F38" s="37">
        <f t="shared" si="4"/>
        <v>16.861867209361485</v>
      </c>
      <c r="G38" s="37">
        <f t="shared" si="4"/>
        <v>10.541814342809742</v>
      </c>
      <c r="H38" s="37">
        <f t="shared" si="4"/>
        <v>13.644424598111764</v>
      </c>
      <c r="I38" s="37">
        <f t="shared" si="4"/>
        <v>15.561529954619989</v>
      </c>
      <c r="J38" s="37">
        <f t="shared" si="4"/>
        <v>18.551254539451964</v>
      </c>
      <c r="K38" s="37">
        <f t="shared" si="4"/>
        <v>17.673274525009695</v>
      </c>
      <c r="L38" s="37">
        <f t="shared" si="4"/>
        <v>22.08353796676225</v>
      </c>
      <c r="M38" s="57">
        <f>FORECAST(M$3,$I38:$L38,$I$3:$L$3)</f>
        <v>23.135599469105074</v>
      </c>
      <c r="N38" s="57">
        <f t="shared" si="3"/>
        <v>25.001856951323134</v>
      </c>
      <c r="O38" s="57">
        <f t="shared" si="3"/>
        <v>26.873227467739042</v>
      </c>
      <c r="P38" s="57">
        <f t="shared" si="3"/>
        <v>28.739484949957102</v>
      </c>
      <c r="Q38" s="57">
        <f t="shared" si="3"/>
        <v>30.605742432175163</v>
      </c>
    </row>
    <row r="39" spans="2:17" x14ac:dyDescent="0.3">
      <c r="B39" s="9" t="s">
        <v>100</v>
      </c>
      <c r="C39" s="37">
        <f t="shared" ref="C39:L39" si="5">365/C22</f>
        <v>113.87471188673032</v>
      </c>
      <c r="D39" s="37">
        <f t="shared" si="5"/>
        <v>120.90441767068273</v>
      </c>
      <c r="E39" s="37">
        <f t="shared" si="5"/>
        <v>135.50015532774154</v>
      </c>
      <c r="F39" s="37">
        <f t="shared" si="5"/>
        <v>124.76590294578055</v>
      </c>
      <c r="G39" s="37">
        <f t="shared" si="5"/>
        <v>133.41782283884737</v>
      </c>
      <c r="H39" s="37">
        <f t="shared" si="5"/>
        <v>126.98035650764793</v>
      </c>
      <c r="I39" s="37">
        <f t="shared" si="5"/>
        <v>113.87256588453863</v>
      </c>
      <c r="J39" s="37">
        <f t="shared" si="5"/>
        <v>98.76798281563552</v>
      </c>
      <c r="K39" s="37">
        <f t="shared" si="5"/>
        <v>113.73777896644974</v>
      </c>
      <c r="L39" s="37">
        <f t="shared" si="5"/>
        <v>119.60887949260042</v>
      </c>
      <c r="M39" s="57">
        <f>FORECAST(M$3,$I39:$L39,$I$3:$L$3)</f>
        <v>119.54243776887364</v>
      </c>
      <c r="N39" s="57">
        <f t="shared" si="3"/>
        <v>122.75892969916896</v>
      </c>
      <c r="O39" s="57">
        <f t="shared" si="3"/>
        <v>125.98423393612268</v>
      </c>
      <c r="P39" s="57">
        <f t="shared" si="3"/>
        <v>129.20072586641805</v>
      </c>
      <c r="Q39" s="57">
        <f t="shared" si="3"/>
        <v>132.41721779671337</v>
      </c>
    </row>
    <row r="40" spans="2:17" x14ac:dyDescent="0.3">
      <c r="M40" s="47"/>
      <c r="N40" s="47"/>
      <c r="O40" s="47"/>
      <c r="P40" s="47"/>
      <c r="Q40" s="47"/>
    </row>
    <row r="41" spans="2:17" x14ac:dyDescent="0.3">
      <c r="B41" s="9" t="s">
        <v>101</v>
      </c>
      <c r="C41" s="37">
        <f>C37+C38-C39</f>
        <v>-44.936753667082002</v>
      </c>
      <c r="D41" s="37">
        <f t="shared" ref="D41:Q41" si="6">D37+D38-D39</f>
        <v>-59.298831294056271</v>
      </c>
      <c r="E41" s="37">
        <f t="shared" si="6"/>
        <v>-74.55699493178696</v>
      </c>
      <c r="F41" s="37">
        <f t="shared" si="6"/>
        <v>-63.337364326144417</v>
      </c>
      <c r="G41" s="37">
        <f t="shared" si="6"/>
        <v>-73.882363400471505</v>
      </c>
      <c r="H41" s="37">
        <f t="shared" si="6"/>
        <v>-61.704178223911086</v>
      </c>
      <c r="I41" s="37">
        <f t="shared" si="6"/>
        <v>-46.874993818861043</v>
      </c>
      <c r="J41" s="37">
        <f t="shared" si="6"/>
        <v>-36.362258362953298</v>
      </c>
      <c r="K41" s="37">
        <f t="shared" si="6"/>
        <v>-52.439352142845649</v>
      </c>
      <c r="L41" s="37">
        <f t="shared" si="6"/>
        <v>-50.855151250996741</v>
      </c>
      <c r="M41" s="57">
        <f t="shared" si="6"/>
        <v>-53.639546340335272</v>
      </c>
      <c r="N41" s="57">
        <f t="shared" si="6"/>
        <v>-56.440654465136674</v>
      </c>
      <c r="O41" s="57">
        <f t="shared" si="6"/>
        <v>-59.249436858773208</v>
      </c>
      <c r="P41" s="57">
        <f t="shared" si="6"/>
        <v>-62.050544983574667</v>
      </c>
      <c r="Q41" s="57">
        <f t="shared" si="6"/>
        <v>-64.851653108376041</v>
      </c>
    </row>
  </sheetData>
  <mergeCells count="1">
    <mergeCell ref="B2:Q2"/>
  </mergeCells>
  <pageMargins left="0.70866141732283472" right="0.70866141732283472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A22662-68AF-4E65-82B9-281A99CCEAC2}">
  <dimension ref="A1:S24"/>
  <sheetViews>
    <sheetView showGridLines="0" tabSelected="1" workbookViewId="0">
      <selection activeCell="K24" sqref="K24"/>
    </sheetView>
  </sheetViews>
  <sheetFormatPr defaultRowHeight="14.4" x14ac:dyDescent="0.3"/>
  <cols>
    <col min="1" max="1" width="1.88671875" customWidth="1"/>
    <col min="2" max="2" width="12.33203125" bestFit="1" customWidth="1"/>
    <col min="3" max="3" width="11.88671875" bestFit="1" customWidth="1"/>
    <col min="5" max="5" width="12" bestFit="1" customWidth="1"/>
    <col min="6" max="6" width="10.88671875" bestFit="1" customWidth="1"/>
    <col min="8" max="8" width="18.109375" bestFit="1" customWidth="1"/>
    <col min="9" max="9" width="11.88671875" bestFit="1" customWidth="1"/>
    <col min="10" max="11" width="9.109375" bestFit="1" customWidth="1"/>
    <col min="12" max="17" width="9.44140625" bestFit="1" customWidth="1"/>
    <col min="18" max="18" width="10.44140625" bestFit="1" customWidth="1"/>
    <col min="19" max="19" width="9.44140625" bestFit="1" customWidth="1"/>
  </cols>
  <sheetData>
    <row r="1" spans="1:19" x14ac:dyDescent="0.3">
      <c r="A1" s="11"/>
    </row>
    <row r="2" spans="1:19" x14ac:dyDescent="0.3">
      <c r="A2" s="11"/>
      <c r="B2" s="90" t="str">
        <f>"WACC Calculation for "&amp;'Data Sheet'!B1</f>
        <v>WACC Calculation for HINDUSTAN UNILEVER LTD</v>
      </c>
      <c r="C2" s="90"/>
      <c r="D2" s="90"/>
      <c r="E2" s="90"/>
      <c r="F2" s="90"/>
      <c r="H2" s="90" t="str">
        <f>"Discounted Cash Flow for "&amp;'Data Sheet'!B1</f>
        <v>Discounted Cash Flow for HINDUSTAN UNILEVER LTD</v>
      </c>
      <c r="I2" s="90"/>
      <c r="J2" s="90"/>
      <c r="K2" s="90"/>
      <c r="L2" s="90"/>
      <c r="M2" s="90"/>
      <c r="N2" s="90"/>
      <c r="O2" s="90"/>
      <c r="P2" s="90"/>
      <c r="Q2" s="90"/>
      <c r="R2" s="90"/>
    </row>
    <row r="3" spans="1:19" x14ac:dyDescent="0.3">
      <c r="A3" s="11"/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</row>
    <row r="4" spans="1:19" x14ac:dyDescent="0.3">
      <c r="B4" t="s">
        <v>142</v>
      </c>
      <c r="F4" s="70">
        <v>515549</v>
      </c>
      <c r="H4" t="s">
        <v>67</v>
      </c>
      <c r="I4" s="68">
        <f>'3 Statement Model'!C22</f>
        <v>5557</v>
      </c>
      <c r="J4" s="68">
        <f>'3 Statement Model'!D22</f>
        <v>5896</v>
      </c>
      <c r="K4" s="68">
        <f>'3 Statement Model'!E22</f>
        <v>6979</v>
      </c>
      <c r="L4" s="68">
        <f>'3 Statement Model'!F22</f>
        <v>8315</v>
      </c>
      <c r="M4" s="68">
        <f>'3 Statement Model'!G22</f>
        <v>8859</v>
      </c>
      <c r="N4" s="68">
        <f>'3 Statement Model'!H22</f>
        <v>10552</v>
      </c>
      <c r="O4" s="68">
        <f>'3 Statement Model'!I22</f>
        <v>11766</v>
      </c>
      <c r="P4" s="68">
        <f>'3 Statement Model'!J22</f>
        <v>13010</v>
      </c>
      <c r="Q4" s="68">
        <f>'3 Statement Model'!K22</f>
        <v>13443</v>
      </c>
      <c r="R4" s="68">
        <f>'3 Statement Model'!L22</f>
        <v>13488</v>
      </c>
      <c r="S4" s="68"/>
    </row>
    <row r="5" spans="1:19" x14ac:dyDescent="0.3">
      <c r="B5" t="s">
        <v>143</v>
      </c>
      <c r="F5" s="70">
        <v>1775</v>
      </c>
      <c r="G5" s="12"/>
      <c r="H5" t="s">
        <v>147</v>
      </c>
      <c r="I5" s="4">
        <f>$F$10</f>
        <v>0.28595432673947913</v>
      </c>
      <c r="J5" s="4">
        <f t="shared" ref="J5:R5" si="0">$F$10</f>
        <v>0.28595432673947913</v>
      </c>
      <c r="K5" s="4">
        <f t="shared" si="0"/>
        <v>0.28595432673947913</v>
      </c>
      <c r="L5" s="4">
        <f t="shared" si="0"/>
        <v>0.28595432673947913</v>
      </c>
      <c r="M5" s="4">
        <f t="shared" si="0"/>
        <v>0.28595432673947913</v>
      </c>
      <c r="N5" s="4">
        <f t="shared" si="0"/>
        <v>0.28595432673947913</v>
      </c>
      <c r="O5" s="4">
        <f t="shared" si="0"/>
        <v>0.28595432673947913</v>
      </c>
      <c r="P5" s="4">
        <f t="shared" si="0"/>
        <v>0.28595432673947913</v>
      </c>
      <c r="Q5" s="4">
        <f t="shared" si="0"/>
        <v>0.28595432673947913</v>
      </c>
      <c r="R5" s="4">
        <f t="shared" si="0"/>
        <v>0.28595432673947913</v>
      </c>
      <c r="S5" s="4"/>
    </row>
    <row r="6" spans="1:19" x14ac:dyDescent="0.3">
      <c r="B6" t="s">
        <v>144</v>
      </c>
      <c r="F6" s="66">
        <v>6.6900000000000001E-2</v>
      </c>
      <c r="G6" s="12"/>
      <c r="H6" t="s">
        <v>156</v>
      </c>
      <c r="I6" s="68">
        <f>'3 Statement Model'!C20</f>
        <v>353</v>
      </c>
      <c r="J6" s="68">
        <f>'3 Statement Model'!D20</f>
        <v>432</v>
      </c>
      <c r="K6" s="68">
        <f>'3 Statement Model'!E20</f>
        <v>520</v>
      </c>
      <c r="L6" s="68">
        <f>'3 Statement Model'!F20</f>
        <v>565</v>
      </c>
      <c r="M6" s="68">
        <f>'3 Statement Model'!G20</f>
        <v>1002</v>
      </c>
      <c r="N6" s="68">
        <f>'3 Statement Model'!H20</f>
        <v>1074</v>
      </c>
      <c r="O6" s="68">
        <f>'3 Statement Model'!I20</f>
        <v>1091</v>
      </c>
      <c r="P6" s="68">
        <f>'3 Statement Model'!J20</f>
        <v>1137</v>
      </c>
      <c r="Q6" s="68">
        <f>'3 Statement Model'!K20</f>
        <v>1216</v>
      </c>
      <c r="R6" s="68">
        <f>'3 Statement Model'!L20</f>
        <v>1355</v>
      </c>
      <c r="S6" s="68"/>
    </row>
    <row r="7" spans="1:19" x14ac:dyDescent="0.3">
      <c r="B7" t="s">
        <v>145</v>
      </c>
      <c r="F7" s="59">
        <f>F6+(F9*F8)</f>
        <v>9.9086000000000007E-2</v>
      </c>
      <c r="H7" t="s">
        <v>157</v>
      </c>
      <c r="I7" s="68">
        <f>'3 Statement Model'!C78</f>
        <v>-810</v>
      </c>
      <c r="J7" s="68">
        <f>'3 Statement Model'!D78</f>
        <v>-1113</v>
      </c>
      <c r="K7" s="68">
        <f>'3 Statement Model'!E78</f>
        <v>-895</v>
      </c>
      <c r="L7" s="68">
        <f>'3 Statement Model'!F78</f>
        <v>-767</v>
      </c>
      <c r="M7" s="68">
        <f>'3 Statement Model'!G78</f>
        <v>-862</v>
      </c>
      <c r="N7" s="68">
        <f>'3 Statement Model'!H78</f>
        <v>-4163</v>
      </c>
      <c r="O7" s="68">
        <f>'3 Statement Model'!I78</f>
        <v>-1228</v>
      </c>
      <c r="P7" s="68">
        <f>'3 Statement Model'!J78</f>
        <v>-1192</v>
      </c>
      <c r="Q7" s="68">
        <f>'3 Statement Model'!K78</f>
        <v>-1477</v>
      </c>
      <c r="R7" s="68">
        <f>'3 Statement Model'!L78</f>
        <v>-1275</v>
      </c>
      <c r="S7" s="68"/>
    </row>
    <row r="8" spans="1:19" x14ac:dyDescent="0.3">
      <c r="B8" t="s">
        <v>155</v>
      </c>
      <c r="F8" s="66">
        <f>'Data Sheet'!C8</f>
        <v>4.1799999999999997E-2</v>
      </c>
      <c r="H8" t="s">
        <v>158</v>
      </c>
      <c r="I8" s="68">
        <f>('3 Statement Model'!C53+'3 Statement Model'!C54)-'3 Statement Model'!C43</f>
        <v>-1695</v>
      </c>
      <c r="J8" s="68">
        <f>('3 Statement Model'!D53+'3 Statement Model'!D54)-'3 Statement Model'!D43</f>
        <v>-2560</v>
      </c>
      <c r="K8" s="68">
        <f>('3 Statement Model'!E53+'3 Statement Model'!E54)-'3 Statement Model'!E43</f>
        <v>-3347</v>
      </c>
      <c r="L8" s="68">
        <f>('3 Statement Model'!F53+'3 Statement Model'!F54)-'3 Statement Model'!F43</f>
        <v>-2816</v>
      </c>
      <c r="M8" s="68">
        <f>('3 Statement Model'!G53+'3 Statement Model'!G54)-'3 Statement Model'!G43</f>
        <v>-3619</v>
      </c>
      <c r="N8" s="68">
        <f>('3 Statement Model'!H53+'3 Statement Model'!H54)-'3 Statement Model'!H43</f>
        <v>-3465</v>
      </c>
      <c r="O8" s="68">
        <f>('3 Statement Model'!I53+'3 Statement Model'!I54)-'3 Statement Model'!I43</f>
        <v>-2736</v>
      </c>
      <c r="P8" s="68">
        <f>('3 Statement Model'!J53+'3 Statement Model'!J54)-'3 Statement Model'!J43</f>
        <v>-2244</v>
      </c>
      <c r="Q8" s="68">
        <f>('3 Statement Model'!K53+'3 Statement Model'!K54)-'3 Statement Model'!K43</f>
        <v>-3467</v>
      </c>
      <c r="R8" s="68">
        <f>('3 Statement Model'!L53+'3 Statement Model'!L54)-'3 Statement Model'!L43</f>
        <v>-3081</v>
      </c>
      <c r="S8" s="68"/>
    </row>
    <row r="9" spans="1:19" x14ac:dyDescent="0.3">
      <c r="B9" t="s">
        <v>146</v>
      </c>
      <c r="F9" s="67">
        <v>0.77</v>
      </c>
      <c r="H9" s="73" t="s">
        <v>159</v>
      </c>
      <c r="I9" s="73">
        <f>I4*(1-I5)+I6+I7+I8</f>
        <v>1815.9518063087144</v>
      </c>
      <c r="J9" s="73">
        <f t="shared" ref="J9:R9" si="1">J4*(1-J5)+J6+J7+J8</f>
        <v>969.01328954403107</v>
      </c>
      <c r="K9" s="73">
        <f t="shared" si="1"/>
        <v>1261.3247536851759</v>
      </c>
      <c r="L9" s="73">
        <f t="shared" si="1"/>
        <v>2919.2897731612311</v>
      </c>
      <c r="M9" s="73">
        <f t="shared" si="1"/>
        <v>2846.7306194149551</v>
      </c>
      <c r="N9" s="73">
        <f t="shared" si="1"/>
        <v>980.60994424501769</v>
      </c>
      <c r="O9" s="73">
        <f t="shared" si="1"/>
        <v>5528.4613915832888</v>
      </c>
      <c r="P9" s="73">
        <f t="shared" si="1"/>
        <v>6990.7342091193768</v>
      </c>
      <c r="Q9" s="73">
        <f t="shared" si="1"/>
        <v>5870.9159856411825</v>
      </c>
      <c r="R9" s="73">
        <f t="shared" si="1"/>
        <v>6630.048040937907</v>
      </c>
      <c r="S9" s="68"/>
    </row>
    <row r="10" spans="1:19" x14ac:dyDescent="0.3">
      <c r="B10" t="s">
        <v>147</v>
      </c>
      <c r="F10" s="60">
        <f>'3 Statement Model'!L31/'3 Statement Model'!L28</f>
        <v>0.28595432673947913</v>
      </c>
    </row>
    <row r="11" spans="1:19" x14ac:dyDescent="0.3">
      <c r="B11" t="s">
        <v>148</v>
      </c>
      <c r="F11" s="62">
        <f>('3 Statement Model'!L25/DCF!F5)*(1-F10)</f>
        <v>0.15890030475374972</v>
      </c>
    </row>
    <row r="12" spans="1:19" x14ac:dyDescent="0.3">
      <c r="H12" t="s">
        <v>160</v>
      </c>
      <c r="I12" s="4">
        <v>3.5000000000000003E-2</v>
      </c>
    </row>
    <row r="13" spans="1:19" x14ac:dyDescent="0.3">
      <c r="B13" t="s">
        <v>149</v>
      </c>
      <c r="F13" s="60">
        <f>F6+F9*F8</f>
        <v>9.9086000000000007E-2</v>
      </c>
      <c r="H13" t="s">
        <v>152</v>
      </c>
      <c r="I13" s="4">
        <f>F17</f>
        <v>9.9135326018671699E-2</v>
      </c>
    </row>
    <row r="14" spans="1:19" x14ac:dyDescent="0.3">
      <c r="B14" t="s">
        <v>150</v>
      </c>
      <c r="F14" s="36">
        <f>F4/SUM(F4:F5)</f>
        <v>0.99656888139734479</v>
      </c>
      <c r="H14" s="2" t="s">
        <v>161</v>
      </c>
      <c r="I14" s="71">
        <f>(R9*(1+I12))/(I13-I12)</f>
        <v>106994.07250807414</v>
      </c>
    </row>
    <row r="15" spans="1:19" x14ac:dyDescent="0.3">
      <c r="B15" t="s">
        <v>151</v>
      </c>
      <c r="F15" s="63">
        <f>F5/SUM(F4:F5)</f>
        <v>3.4311186026552026E-3</v>
      </c>
    </row>
    <row r="16" spans="1:19" x14ac:dyDescent="0.3">
      <c r="H16" t="s">
        <v>165</v>
      </c>
      <c r="I16" s="36">
        <f>1/((1+$I$13)^I3)</f>
        <v>0.90980607785779821</v>
      </c>
      <c r="J16" s="36">
        <f t="shared" ref="J16:R16" si="2">1/((1+$I$13)^J3)</f>
        <v>0.82774709930699009</v>
      </c>
      <c r="K16" s="36">
        <f t="shared" si="2"/>
        <v>0.75308934187866206</v>
      </c>
      <c r="L16" s="36">
        <f t="shared" si="2"/>
        <v>0.68516526041113601</v>
      </c>
      <c r="M16" s="36">
        <f t="shared" si="2"/>
        <v>0.62336751825907266</v>
      </c>
      <c r="N16" s="36">
        <f t="shared" si="2"/>
        <v>0.5671435568512363</v>
      </c>
      <c r="O16" s="36">
        <f t="shared" si="2"/>
        <v>0.5159906550411445</v>
      </c>
      <c r="P16" s="36">
        <f t="shared" si="2"/>
        <v>0.46945143407425988</v>
      </c>
      <c r="Q16" s="36">
        <f t="shared" si="2"/>
        <v>0.42710976797982109</v>
      </c>
      <c r="R16" s="36">
        <f t="shared" si="2"/>
        <v>0.38858706282047523</v>
      </c>
    </row>
    <row r="17" spans="2:18" x14ac:dyDescent="0.3">
      <c r="B17" s="64" t="s">
        <v>152</v>
      </c>
      <c r="C17" s="64"/>
      <c r="D17" s="64"/>
      <c r="E17" s="64"/>
      <c r="F17" s="65">
        <f>((F13*F14)+(F11*F15*(1-F10)))</f>
        <v>9.9135326018671699E-2</v>
      </c>
      <c r="H17" t="s">
        <v>162</v>
      </c>
      <c r="I17" s="69">
        <f>I9*I16</f>
        <v>1652.1639904765154</v>
      </c>
      <c r="J17" s="69">
        <f t="shared" ref="J17:R17" si="3">J9*J16</f>
        <v>802.09793960999627</v>
      </c>
      <c r="K17" s="69">
        <f t="shared" si="3"/>
        <v>949.89022864803462</v>
      </c>
      <c r="L17" s="69">
        <f t="shared" si="3"/>
        <v>2000.1959376435811</v>
      </c>
      <c r="M17" s="69">
        <f t="shared" si="3"/>
        <v>1774.5594013768132</v>
      </c>
      <c r="N17" s="69">
        <f t="shared" si="3"/>
        <v>556.14661166281189</v>
      </c>
      <c r="O17" s="69">
        <f t="shared" si="3"/>
        <v>2852.6344148127382</v>
      </c>
      <c r="P17" s="69">
        <f t="shared" si="3"/>
        <v>3281.8101997030785</v>
      </c>
      <c r="Q17" s="69">
        <f t="shared" si="3"/>
        <v>2507.525564456228</v>
      </c>
      <c r="R17" s="69">
        <f t="shared" si="3"/>
        <v>2576.350894586707</v>
      </c>
    </row>
    <row r="18" spans="2:18" x14ac:dyDescent="0.3">
      <c r="H18" t="s">
        <v>163</v>
      </c>
      <c r="R18" s="69">
        <f>I14*R16</f>
        <v>41576.512375113489</v>
      </c>
    </row>
    <row r="20" spans="2:18" x14ac:dyDescent="0.3">
      <c r="H20" t="s">
        <v>164</v>
      </c>
      <c r="I20" s="69">
        <f>SUM(I17:R18)</f>
        <v>60529.887558089991</v>
      </c>
    </row>
    <row r="21" spans="2:18" x14ac:dyDescent="0.3">
      <c r="H21" t="s">
        <v>166</v>
      </c>
      <c r="I21" s="69">
        <f>I20-'3 Statement Model'!C41-'3 Statement Model'!C55</f>
        <v>57343.887558089991</v>
      </c>
    </row>
    <row r="23" spans="2:18" x14ac:dyDescent="0.3">
      <c r="H23" s="2" t="s">
        <v>167</v>
      </c>
      <c r="I23" s="72">
        <f>'Data Sheet'!K131/10</f>
        <v>23.496000000000002</v>
      </c>
    </row>
    <row r="24" spans="2:18" x14ac:dyDescent="0.3">
      <c r="H24" s="2" t="s">
        <v>168</v>
      </c>
      <c r="I24" s="71">
        <f>I21/I23</f>
        <v>2440.5808460201729</v>
      </c>
    </row>
  </sheetData>
  <mergeCells count="2">
    <mergeCell ref="B2:F2"/>
    <mergeCell ref="H2:R2"/>
  </mergeCells>
  <pageMargins left="0.7" right="0.7" top="0.75" bottom="0.75" header="0.3" footer="0.3"/>
  <ignoredErrors>
    <ignoredError sqref="F14:F15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13F77-9433-4A86-BC91-49565AC8AB40}">
  <dimension ref="A1:P21"/>
  <sheetViews>
    <sheetView showGridLines="0" workbookViewId="0">
      <selection activeCell="P12" sqref="P12"/>
    </sheetView>
  </sheetViews>
  <sheetFormatPr defaultRowHeight="14.4" x14ac:dyDescent="0.3"/>
  <cols>
    <col min="1" max="1" width="1.88671875" customWidth="1"/>
    <col min="2" max="2" width="16.6640625" bestFit="1" customWidth="1"/>
    <col min="3" max="3" width="10" bestFit="1" customWidth="1"/>
    <col min="4" max="4" width="16.6640625" bestFit="1" customWidth="1"/>
    <col min="5" max="5" width="11.88671875" bestFit="1" customWidth="1"/>
    <col min="6" max="6" width="10.109375" bestFit="1" customWidth="1"/>
    <col min="7" max="7" width="14.33203125" bestFit="1" customWidth="1"/>
    <col min="9" max="11" width="10.44140625" bestFit="1" customWidth="1"/>
    <col min="12" max="12" width="10.5546875" bestFit="1" customWidth="1"/>
    <col min="14" max="15" width="12.88671875" bestFit="1" customWidth="1"/>
    <col min="16" max="16" width="14.44140625" bestFit="1" customWidth="1"/>
  </cols>
  <sheetData>
    <row r="1" spans="1:16" x14ac:dyDescent="0.3">
      <c r="A1" s="11"/>
    </row>
    <row r="2" spans="1:16" x14ac:dyDescent="0.3">
      <c r="B2" s="95" t="str">
        <f>"COMP Analysis of "&amp;'Data Sheet'!B1</f>
        <v>COMP Analysis of HINDUSTAN UNILEVER LTD</v>
      </c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</row>
    <row r="3" spans="1:16" x14ac:dyDescent="0.3">
      <c r="B3" s="79"/>
      <c r="C3" s="96" t="s">
        <v>190</v>
      </c>
      <c r="D3" s="96"/>
      <c r="E3" s="96"/>
      <c r="F3" s="96"/>
      <c r="G3" s="96"/>
      <c r="H3" s="79"/>
      <c r="I3" s="96" t="s">
        <v>191</v>
      </c>
      <c r="J3" s="96"/>
      <c r="K3" s="96"/>
      <c r="L3" s="96"/>
      <c r="M3" s="79"/>
      <c r="N3" s="96" t="s">
        <v>192</v>
      </c>
      <c r="O3" s="96"/>
      <c r="P3" s="96"/>
    </row>
    <row r="4" spans="1:16" x14ac:dyDescent="0.3">
      <c r="B4" s="80" t="s">
        <v>172</v>
      </c>
      <c r="C4" s="80" t="s">
        <v>168</v>
      </c>
      <c r="D4" s="80" t="s">
        <v>173</v>
      </c>
      <c r="E4" s="80" t="s">
        <v>174</v>
      </c>
      <c r="F4" s="80" t="s">
        <v>175</v>
      </c>
      <c r="G4" s="80" t="s">
        <v>176</v>
      </c>
      <c r="H4" s="80"/>
      <c r="I4" s="80" t="s">
        <v>169</v>
      </c>
      <c r="J4" s="80" t="s">
        <v>65</v>
      </c>
      <c r="K4" s="80" t="s">
        <v>67</v>
      </c>
      <c r="L4" s="80" t="s">
        <v>177</v>
      </c>
      <c r="M4" s="80"/>
      <c r="N4" s="80" t="s">
        <v>178</v>
      </c>
      <c r="O4" s="80" t="s">
        <v>196</v>
      </c>
      <c r="P4" s="80" t="s">
        <v>179</v>
      </c>
    </row>
    <row r="5" spans="1:16" x14ac:dyDescent="0.3">
      <c r="B5" t="s">
        <v>187</v>
      </c>
      <c r="C5" s="81">
        <v>2194.6</v>
      </c>
      <c r="D5" s="67">
        <v>234.96</v>
      </c>
      <c r="E5" s="69">
        <f>C5*D5</f>
        <v>515643.21600000001</v>
      </c>
      <c r="F5" s="69">
        <f>'3 Statement Model'!L41-'3 Statement Model'!L55</f>
        <v>-5906</v>
      </c>
      <c r="G5" s="69">
        <f>SUM(E5,F5)</f>
        <v>509737.21600000001</v>
      </c>
      <c r="I5" s="69">
        <f>'3 Statement Model'!L6</f>
        <v>63121</v>
      </c>
      <c r="J5" s="69">
        <f>'3 Statement Model'!L17</f>
        <v>14843</v>
      </c>
      <c r="K5" s="69">
        <f>'3 Statement Model'!L22</f>
        <v>13488</v>
      </c>
      <c r="L5" s="69">
        <f>'3 Statement Model'!L33</f>
        <v>9349</v>
      </c>
      <c r="N5" s="82">
        <f>G5/I5</f>
        <v>8.0755567243864963</v>
      </c>
      <c r="O5" s="82">
        <f>G5/J5</f>
        <v>34.34192656471064</v>
      </c>
      <c r="P5" s="82">
        <f>E5/L5</f>
        <v>55.154905979249122</v>
      </c>
    </row>
    <row r="6" spans="1:16" x14ac:dyDescent="0.3">
      <c r="B6" t="s">
        <v>180</v>
      </c>
      <c r="C6" s="81">
        <v>306</v>
      </c>
      <c r="D6" s="67">
        <v>1252.92</v>
      </c>
      <c r="E6" s="69">
        <f t="shared" ref="E6:E8" si="0">C6*D6</f>
        <v>383393.52</v>
      </c>
      <c r="F6" s="81">
        <f>285-4012</f>
        <v>-3727</v>
      </c>
      <c r="G6" s="69">
        <f t="shared" ref="G6:G8" si="1">SUM(E6,F6)</f>
        <v>379666.52</v>
      </c>
      <c r="I6" s="81">
        <v>75323</v>
      </c>
      <c r="J6" s="81">
        <v>43634.329999999994</v>
      </c>
      <c r="K6" s="81">
        <v>41988.009999999995</v>
      </c>
      <c r="L6" s="81">
        <v>34746.629999999997</v>
      </c>
      <c r="N6" s="82">
        <f t="shared" ref="N6:N8" si="2">G6/I6</f>
        <v>5.0405124596736721</v>
      </c>
      <c r="O6" s="82">
        <f t="shared" ref="O6:O8" si="3">G6/J6</f>
        <v>8.7010965906890299</v>
      </c>
      <c r="P6" s="82">
        <f t="shared" ref="P6:P8" si="4">E6/L6</f>
        <v>11.033977107995799</v>
      </c>
    </row>
    <row r="7" spans="1:16" x14ac:dyDescent="0.3">
      <c r="B7" t="s">
        <v>181</v>
      </c>
      <c r="C7" s="81">
        <v>469.95</v>
      </c>
      <c r="D7" s="67">
        <v>11.95</v>
      </c>
      <c r="E7" s="69">
        <f t="shared" si="0"/>
        <v>5615.9024999999992</v>
      </c>
      <c r="F7" s="81">
        <f>892-84</f>
        <v>808</v>
      </c>
      <c r="G7" s="69">
        <f t="shared" si="1"/>
        <v>6423.9024999999992</v>
      </c>
      <c r="I7" s="81">
        <v>3564</v>
      </c>
      <c r="J7" s="81">
        <v>308.99</v>
      </c>
      <c r="K7" s="81">
        <v>229.26</v>
      </c>
      <c r="L7" s="81">
        <v>109.64</v>
      </c>
      <c r="N7" s="82">
        <f t="shared" si="2"/>
        <v>1.8024417789001119</v>
      </c>
      <c r="O7" s="82">
        <f t="shared" si="3"/>
        <v>20.790001294540275</v>
      </c>
      <c r="P7" s="82">
        <f t="shared" si="4"/>
        <v>51.22129241152863</v>
      </c>
    </row>
    <row r="8" spans="1:16" x14ac:dyDescent="0.3">
      <c r="B8" t="s">
        <v>195</v>
      </c>
      <c r="C8" s="81">
        <v>279</v>
      </c>
      <c r="D8" s="67">
        <v>5.12</v>
      </c>
      <c r="E8" s="69">
        <f t="shared" si="0"/>
        <v>1428.48</v>
      </c>
      <c r="F8" s="81">
        <f>490-31</f>
        <v>459</v>
      </c>
      <c r="G8" s="69">
        <f t="shared" si="1"/>
        <v>1887.48</v>
      </c>
      <c r="I8" s="81">
        <v>1870</v>
      </c>
      <c r="J8" s="81">
        <v>120.31</v>
      </c>
      <c r="K8" s="81">
        <v>70.25</v>
      </c>
      <c r="L8" s="81">
        <v>-23.41</v>
      </c>
      <c r="N8" s="82">
        <f t="shared" si="2"/>
        <v>1.0093475935828877</v>
      </c>
      <c r="O8" s="82">
        <f t="shared" si="3"/>
        <v>15.688471448757376</v>
      </c>
      <c r="P8" s="82">
        <f t="shared" si="4"/>
        <v>-61.020076890217858</v>
      </c>
    </row>
    <row r="10" spans="1:16" x14ac:dyDescent="0.3">
      <c r="B10" t="s">
        <v>182</v>
      </c>
      <c r="N10" s="82">
        <f>MAX(N5:N8)</f>
        <v>8.0755567243864963</v>
      </c>
      <c r="O10" s="82">
        <f t="shared" ref="O10:P10" si="5">MAX(O5:O8)</f>
        <v>34.34192656471064</v>
      </c>
      <c r="P10" s="82">
        <f t="shared" si="5"/>
        <v>55.154905979249122</v>
      </c>
    </row>
    <row r="11" spans="1:16" x14ac:dyDescent="0.3">
      <c r="B11" t="s">
        <v>194</v>
      </c>
      <c r="N11">
        <f>QUARTILE(N5:N8,3)</f>
        <v>5.7992735258518779</v>
      </c>
      <c r="O11">
        <f t="shared" ref="O11:P11" si="6">QUARTILE(O5:O8,3)</f>
        <v>24.177982612082864</v>
      </c>
      <c r="P11">
        <f t="shared" si="6"/>
        <v>52.204695803458755</v>
      </c>
    </row>
    <row r="12" spans="1:16" x14ac:dyDescent="0.3">
      <c r="B12" s="2" t="s">
        <v>183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83">
        <f>MEDIAN(N5:N8)</f>
        <v>3.4214771192868918</v>
      </c>
      <c r="O12" s="83">
        <f t="shared" ref="O12:P12" si="7">MEDIAN(O5:O8)</f>
        <v>18.239236371648825</v>
      </c>
      <c r="P12" s="83">
        <f t="shared" si="7"/>
        <v>31.127634759762213</v>
      </c>
    </row>
    <row r="13" spans="1:16" x14ac:dyDescent="0.3">
      <c r="B13" s="2" t="s">
        <v>184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83">
        <f>AVERAGE(N5:N8)</f>
        <v>3.9819646391357923</v>
      </c>
      <c r="O13" s="83">
        <f t="shared" ref="O13:P13" si="8">AVERAGE(O5:O8)</f>
        <v>19.880373974674328</v>
      </c>
      <c r="P13" s="83">
        <f t="shared" si="8"/>
        <v>14.097524652138924</v>
      </c>
    </row>
    <row r="14" spans="1:16" x14ac:dyDescent="0.3">
      <c r="B14" t="s">
        <v>185</v>
      </c>
      <c r="N14">
        <f>QUARTILE(N5:N8,1)</f>
        <v>1.6041682325708058</v>
      </c>
      <c r="O14">
        <f t="shared" ref="O14:P14" si="9">QUARTILE(O5:O8,1)</f>
        <v>13.941627734240289</v>
      </c>
      <c r="P14">
        <f t="shared" si="9"/>
        <v>-6.979536391557609</v>
      </c>
    </row>
    <row r="15" spans="1:16" x14ac:dyDescent="0.3">
      <c r="B15" t="s">
        <v>186</v>
      </c>
      <c r="N15" s="82">
        <f>MIN(N5:N8)</f>
        <v>1.0093475935828877</v>
      </c>
      <c r="O15" s="82">
        <f t="shared" ref="O15:P15" si="10">MIN(O5:O8)</f>
        <v>8.7010965906890299</v>
      </c>
      <c r="P15" s="82">
        <f t="shared" si="10"/>
        <v>-61.020076890217858</v>
      </c>
    </row>
    <row r="17" spans="2:16" x14ac:dyDescent="0.3">
      <c r="B17" t="s">
        <v>188</v>
      </c>
      <c r="N17" s="69">
        <f>I5*N12</f>
        <v>215967.0572465079</v>
      </c>
      <c r="O17" s="69">
        <f>J5*O12</f>
        <v>270724.9854643835</v>
      </c>
      <c r="P17" s="69">
        <f>L5*P12</f>
        <v>291012.25736901694</v>
      </c>
    </row>
    <row r="18" spans="2:16" x14ac:dyDescent="0.3">
      <c r="B18" t="s">
        <v>175</v>
      </c>
      <c r="N18" s="69">
        <f>$F$5</f>
        <v>-5906</v>
      </c>
      <c r="O18" s="69">
        <f t="shared" ref="O18:P18" si="11">$F$5</f>
        <v>-5906</v>
      </c>
      <c r="P18" s="69">
        <f t="shared" si="11"/>
        <v>-5906</v>
      </c>
    </row>
    <row r="19" spans="2:16" x14ac:dyDescent="0.3">
      <c r="B19" t="s">
        <v>189</v>
      </c>
      <c r="N19" s="69">
        <f>N17+N18</f>
        <v>210061.0572465079</v>
      </c>
      <c r="O19" s="69">
        <f t="shared" ref="O19:P19" si="12">O17+O18</f>
        <v>264818.9854643835</v>
      </c>
      <c r="P19" s="69">
        <f t="shared" si="12"/>
        <v>285106.25736901694</v>
      </c>
    </row>
    <row r="20" spans="2:16" x14ac:dyDescent="0.3">
      <c r="B20" t="s">
        <v>173</v>
      </c>
      <c r="N20">
        <f>$D$5</f>
        <v>234.96</v>
      </c>
      <c r="O20">
        <f t="shared" ref="O20:P20" si="13">$D$5</f>
        <v>234.96</v>
      </c>
      <c r="P20">
        <f t="shared" si="13"/>
        <v>234.96</v>
      </c>
    </row>
    <row r="21" spans="2:16" x14ac:dyDescent="0.3">
      <c r="B21" s="2" t="s">
        <v>193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71">
        <f>N19/N20</f>
        <v>894.02901449824606</v>
      </c>
      <c r="O21" s="71">
        <f t="shared" ref="O21:P21" si="14">O19/O20</f>
        <v>1127.0811434473251</v>
      </c>
      <c r="P21" s="71">
        <f t="shared" si="14"/>
        <v>1213.424656831022</v>
      </c>
    </row>
  </sheetData>
  <mergeCells count="4">
    <mergeCell ref="B2:P2"/>
    <mergeCell ref="C3:G3"/>
    <mergeCell ref="I3:L3"/>
    <mergeCell ref="N3:P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506374-5682-4652-851C-54C959BD8A4E}">
  <dimension ref="A2:Q43"/>
  <sheetViews>
    <sheetView showGridLines="0" workbookViewId="0">
      <selection activeCell="R5" sqref="R5"/>
    </sheetView>
  </sheetViews>
  <sheetFormatPr defaultRowHeight="14.4" x14ac:dyDescent="0.3"/>
  <cols>
    <col min="1" max="1" width="1.88671875" customWidth="1"/>
    <col min="2" max="2" width="18.21875" bestFit="1" customWidth="1"/>
    <col min="3" max="12" width="8" bestFit="1" customWidth="1"/>
  </cols>
  <sheetData>
    <row r="2" spans="1:17" x14ac:dyDescent="0.3">
      <c r="B2" s="93" t="s">
        <v>197</v>
      </c>
      <c r="C2" s="93"/>
      <c r="D2" s="93"/>
      <c r="E2" s="93"/>
      <c r="F2" s="93"/>
      <c r="G2" s="93"/>
      <c r="H2" s="93"/>
      <c r="I2" s="93"/>
      <c r="J2" s="93"/>
      <c r="K2" s="93"/>
      <c r="L2" s="93"/>
      <c r="M2" s="84"/>
      <c r="N2" s="84"/>
      <c r="O2" s="84"/>
      <c r="P2" s="84"/>
      <c r="Q2" s="84"/>
    </row>
    <row r="3" spans="1:17" x14ac:dyDescent="0.3">
      <c r="A3" s="11"/>
      <c r="B3" s="19" t="s">
        <v>59</v>
      </c>
      <c r="C3" s="16">
        <f>'Data Sheet'!B17</f>
        <v>42460</v>
      </c>
      <c r="D3" s="16">
        <f>'Data Sheet'!C17</f>
        <v>42825</v>
      </c>
      <c r="E3" s="16">
        <f>'Data Sheet'!D17</f>
        <v>43190</v>
      </c>
      <c r="F3" s="16">
        <f>'Data Sheet'!E17</f>
        <v>43555</v>
      </c>
      <c r="G3" s="16">
        <f>'Data Sheet'!F17</f>
        <v>43921</v>
      </c>
      <c r="H3" s="16">
        <f>'Data Sheet'!G17</f>
        <v>44286</v>
      </c>
      <c r="I3" s="16">
        <f>'Data Sheet'!H17</f>
        <v>44651</v>
      </c>
      <c r="J3" s="16">
        <f>'Data Sheet'!I17</f>
        <v>45016</v>
      </c>
      <c r="K3" s="16">
        <f>'Data Sheet'!J17</f>
        <v>45382</v>
      </c>
      <c r="L3" s="16">
        <f>'Data Sheet'!K17</f>
        <v>45747</v>
      </c>
      <c r="M3" s="85"/>
      <c r="N3" s="85"/>
      <c r="O3" s="85"/>
      <c r="P3" s="85"/>
      <c r="Q3" s="85"/>
    </row>
    <row r="4" spans="1:17" x14ac:dyDescent="0.3">
      <c r="B4" s="88" t="str">
        <f>'Data Sheet'!A18</f>
        <v>Sales</v>
      </c>
      <c r="C4" s="89">
        <f>'Data Sheet'!B18/'Data Sheet'!B$18</f>
        <v>1</v>
      </c>
      <c r="D4" s="89">
        <f>'Data Sheet'!C18/'Data Sheet'!C$18</f>
        <v>1</v>
      </c>
      <c r="E4" s="89">
        <f>'Data Sheet'!D18/'Data Sheet'!D$18</f>
        <v>1</v>
      </c>
      <c r="F4" s="89">
        <f>'Data Sheet'!E18/'Data Sheet'!E$18</f>
        <v>1</v>
      </c>
      <c r="G4" s="89">
        <f>'Data Sheet'!F18/'Data Sheet'!F$18</f>
        <v>1</v>
      </c>
      <c r="H4" s="89">
        <f>'Data Sheet'!G18/'Data Sheet'!G$18</f>
        <v>1</v>
      </c>
      <c r="I4" s="89">
        <f>'Data Sheet'!H18/'Data Sheet'!H$18</f>
        <v>1</v>
      </c>
      <c r="J4" s="89">
        <f>'Data Sheet'!I18/'Data Sheet'!I$18</f>
        <v>1</v>
      </c>
      <c r="K4" s="89">
        <f>'Data Sheet'!J18/'Data Sheet'!J$18</f>
        <v>1</v>
      </c>
      <c r="L4" s="89">
        <f>'Data Sheet'!K18/'Data Sheet'!K$18</f>
        <v>1</v>
      </c>
    </row>
    <row r="5" spans="1:17" x14ac:dyDescent="0.3">
      <c r="B5" s="40" t="str">
        <f>'Data Sheet'!A19</f>
        <v>Raw Material Cost</v>
      </c>
      <c r="C5" s="60">
        <f>'Data Sheet'!B19/'Data Sheet'!B$18</f>
        <v>0.40961908904492639</v>
      </c>
      <c r="D5" s="60">
        <f>'Data Sheet'!C19/'Data Sheet'!C$18</f>
        <v>0.41028888486822268</v>
      </c>
      <c r="E5" s="60">
        <f>'Data Sheet'!D19/'Data Sheet'!D$18</f>
        <v>0.40042200028133351</v>
      </c>
      <c r="F5" s="60">
        <f>'Data Sheet'!E19/'Data Sheet'!E$18</f>
        <v>0.40307809717629101</v>
      </c>
      <c r="G5" s="60">
        <f>'Data Sheet'!F19/'Data Sheet'!F$18</f>
        <v>0.39456551793479627</v>
      </c>
      <c r="H5" s="60">
        <f>'Data Sheet'!G19/'Data Sheet'!G$18</f>
        <v>0.42827677128519182</v>
      </c>
      <c r="I5" s="60">
        <f>'Data Sheet'!H19/'Data Sheet'!H$18</f>
        <v>0.43608664149792165</v>
      </c>
      <c r="J5" s="60">
        <f>'Data Sheet'!I19/'Data Sheet'!I$18</f>
        <v>0.46924727632882141</v>
      </c>
      <c r="K5" s="60">
        <f>'Data Sheet'!J19/'Data Sheet'!J$18</f>
        <v>0.43333979578648057</v>
      </c>
      <c r="L5" s="60">
        <f>'Data Sheet'!K19/'Data Sheet'!K$18</f>
        <v>0.43319972750748564</v>
      </c>
    </row>
    <row r="6" spans="1:17" x14ac:dyDescent="0.3">
      <c r="B6" s="40" t="str">
        <f>'Data Sheet'!A20</f>
        <v>Change in Inventory</v>
      </c>
      <c r="C6" s="60">
        <f>'Data Sheet'!B20/'Data Sheet'!B$18</f>
        <v>-2.5787609519666937E-3</v>
      </c>
      <c r="D6" s="60">
        <f>'Data Sheet'!C20/'Data Sheet'!C$18</f>
        <v>-4.3423195223448521E-3</v>
      </c>
      <c r="E6" s="60">
        <f>'Data Sheet'!D20/'Data Sheet'!D$18</f>
        <v>2.0256013504009003E-3</v>
      </c>
      <c r="F6" s="60">
        <f>'Data Sheet'!E20/'Data Sheet'!E$18</f>
        <v>-3.0526583566522515E-4</v>
      </c>
      <c r="G6" s="60">
        <f>'Data Sheet'!F20/'Data Sheet'!F$18</f>
        <v>2.7147273961239727E-3</v>
      </c>
      <c r="H6" s="60">
        <f>'Data Sheet'!G20/'Data Sheet'!G$18</f>
        <v>8.6118907884664454E-3</v>
      </c>
      <c r="I6" s="60">
        <f>'Data Sheet'!H20/'Data Sheet'!H$18</f>
        <v>4.1947908324753078E-4</v>
      </c>
      <c r="J6" s="60">
        <f>'Data Sheet'!I20/'Data Sheet'!I$18</f>
        <v>1.2380323539121821E-3</v>
      </c>
      <c r="K6" s="60">
        <f>'Data Sheet'!J20/'Data Sheet'!J$18</f>
        <v>1.7771746154840378E-4</v>
      </c>
      <c r="L6" s="60">
        <f>'Data Sheet'!K20/'Data Sheet'!K$18</f>
        <v>2.4239159709130084E-3</v>
      </c>
    </row>
    <row r="7" spans="1:17" x14ac:dyDescent="0.3">
      <c r="B7" s="40" t="str">
        <f>'Data Sheet'!A21</f>
        <v>Power and Fuel</v>
      </c>
      <c r="C7" s="60">
        <f>'Data Sheet'!B21/'Data Sheet'!B$18</f>
        <v>9.6004473994904613E-3</v>
      </c>
      <c r="D7" s="60">
        <f>'Data Sheet'!C21/'Data Sheet'!C$18</f>
        <v>8.8957240214703574E-3</v>
      </c>
      <c r="E7" s="60">
        <f>'Data Sheet'!D21/'Data Sheet'!D$18</f>
        <v>8.2993388662259103E-3</v>
      </c>
      <c r="F7" s="60">
        <f>'Data Sheet'!E21/'Data Sheet'!E$18</f>
        <v>7.8351564487407783E-3</v>
      </c>
      <c r="G7" s="60">
        <f>'Data Sheet'!F21/'Data Sheet'!F$18</f>
        <v>7.5157730688987755E-3</v>
      </c>
      <c r="H7" s="60">
        <f>'Data Sheet'!G21/'Data Sheet'!G$18</f>
        <v>7.2084715488645061E-3</v>
      </c>
      <c r="I7" s="60">
        <f>'Data Sheet'!H21/'Data Sheet'!H$18</f>
        <v>6.0633794760324902E-3</v>
      </c>
      <c r="J7" s="60">
        <f>'Data Sheet'!I21/'Data Sheet'!I$18</f>
        <v>6.3387256520303732E-3</v>
      </c>
      <c r="K7" s="60">
        <f>'Data Sheet'!J21/'Data Sheet'!J$18</f>
        <v>7.2056352591443711E-3</v>
      </c>
      <c r="L7" s="60">
        <f>'Data Sheet'!K21/'Data Sheet'!K$18</f>
        <v>6.7647850952931672E-3</v>
      </c>
    </row>
    <row r="8" spans="1:17" x14ac:dyDescent="0.3">
      <c r="B8" s="40" t="str">
        <f>'Data Sheet'!A22</f>
        <v>Other Mfr. Exp</v>
      </c>
      <c r="C8" s="60">
        <f>'Data Sheet'!B22/'Data Sheet'!B$18</f>
        <v>9.21518672714845E-2</v>
      </c>
      <c r="D8" s="60">
        <f>'Data Sheet'!C22/'Data Sheet'!C$18</f>
        <v>8.7057475423677699E-2</v>
      </c>
      <c r="E8" s="60">
        <f>'Data Sheet'!D22/'Data Sheet'!D$18</f>
        <v>8.4343789562526375E-2</v>
      </c>
      <c r="F8" s="60">
        <f>'Data Sheet'!E22/'Data Sheet'!E$18</f>
        <v>7.7359450521495801E-2</v>
      </c>
      <c r="G8" s="60">
        <f>'Data Sheet'!F22/'Data Sheet'!F$18</f>
        <v>7.3046276047558006E-2</v>
      </c>
      <c r="H8" s="60">
        <f>'Data Sheet'!G22/'Data Sheet'!G$18</f>
        <v>6.0984945139066091E-2</v>
      </c>
      <c r="I8" s="60">
        <f>'Data Sheet'!H22/'Data Sheet'!H$18</f>
        <v>6.3951492964191739E-2</v>
      </c>
      <c r="J8" s="60">
        <f>'Data Sheet'!I22/'Data Sheet'!I$18</f>
        <v>6.2578408715747769E-2</v>
      </c>
      <c r="K8" s="60">
        <f>'Data Sheet'!J22/'Data Sheet'!J$18</f>
        <v>5.4688509758304249E-2</v>
      </c>
      <c r="L8" s="60">
        <f>'Data Sheet'!K22/'Data Sheet'!K$18</f>
        <v>6.074048256523186E-2</v>
      </c>
    </row>
    <row r="9" spans="1:17" x14ac:dyDescent="0.3">
      <c r="B9" s="40" t="str">
        <f>'Data Sheet'!A23</f>
        <v>Employee Cost</v>
      </c>
      <c r="C9" s="60">
        <f>'Data Sheet'!B23/'Data Sheet'!B$18</f>
        <v>5.2196607220530662E-2</v>
      </c>
      <c r="D9" s="60">
        <f>'Data Sheet'!C23/'Data Sheet'!C$18</f>
        <v>5.2560159218382488E-2</v>
      </c>
      <c r="E9" s="60">
        <f>'Data Sheet'!D23/'Data Sheet'!D$18</f>
        <v>5.2328034885356589E-2</v>
      </c>
      <c r="F9" s="60">
        <f>'Data Sheet'!E23/'Data Sheet'!E$18</f>
        <v>4.7697786822691428E-2</v>
      </c>
      <c r="G9" s="60">
        <f>'Data Sheet'!F23/'Data Sheet'!F$18</f>
        <v>4.574818389764472E-2</v>
      </c>
      <c r="H9" s="60">
        <f>'Data Sheet'!G23/'Data Sheet'!G$18</f>
        <v>5.0140341923960191E-2</v>
      </c>
      <c r="I9" s="60">
        <f>'Data Sheet'!H23/'Data Sheet'!H$18</f>
        <v>4.8526103039316627E-2</v>
      </c>
      <c r="J9" s="60">
        <f>'Data Sheet'!I23/'Data Sheet'!I$18</f>
        <v>4.7111257840871577E-2</v>
      </c>
      <c r="K9" s="60">
        <f>'Data Sheet'!J23/'Data Sheet'!J$18</f>
        <v>4.8613803799922452E-2</v>
      </c>
      <c r="L9" s="60">
        <f>'Data Sheet'!K23/'Data Sheet'!K$18</f>
        <v>4.8747643415028276E-2</v>
      </c>
    </row>
    <row r="10" spans="1:17" x14ac:dyDescent="0.3">
      <c r="B10" s="40" t="str">
        <f>'Data Sheet'!A24</f>
        <v>Selling and admin</v>
      </c>
      <c r="C10" s="60">
        <f>'Data Sheet'!B24/'Data Sheet'!B$18</f>
        <v>0.20943888647237929</v>
      </c>
      <c r="D10" s="60">
        <f>'Data Sheet'!C24/'Data Sheet'!C$18</f>
        <v>0.20170677281225499</v>
      </c>
      <c r="E10" s="60">
        <f>'Data Sheet'!D24/'Data Sheet'!D$18</f>
        <v>0.20402306934871289</v>
      </c>
      <c r="F10" s="60">
        <f>'Data Sheet'!E24/'Data Sheet'!E$18</f>
        <v>0.19832103790384126</v>
      </c>
      <c r="G10" s="60">
        <f>'Data Sheet'!F24/'Data Sheet'!F$18</f>
        <v>0.19153909961541363</v>
      </c>
      <c r="H10" s="60">
        <f>'Data Sheet'!G24/'Data Sheet'!G$18</f>
        <v>0.16811261376201411</v>
      </c>
      <c r="I10" s="60">
        <f>'Data Sheet'!H24/'Data Sheet'!H$18</f>
        <v>0.15566487434694734</v>
      </c>
      <c r="J10" s="60">
        <f>'Data Sheet'!I24/'Data Sheet'!I$18</f>
        <v>0.14501485638824696</v>
      </c>
      <c r="K10" s="60">
        <f>'Data Sheet'!J24/'Data Sheet'!J$18</f>
        <v>0.1741631123174357</v>
      </c>
      <c r="L10" s="60">
        <f>'Data Sheet'!K24/'Data Sheet'!K$18</f>
        <v>0.16940479396714248</v>
      </c>
    </row>
    <row r="11" spans="1:17" x14ac:dyDescent="0.3">
      <c r="B11" s="40" t="str">
        <f>'Data Sheet'!A25</f>
        <v>Other Expenses</v>
      </c>
      <c r="C11" s="60">
        <f>'Data Sheet'!B25/'Data Sheet'!B$18</f>
        <v>4.0794134095569499E-2</v>
      </c>
      <c r="D11" s="60">
        <f>'Data Sheet'!C25/'Data Sheet'!C$18</f>
        <v>4.4327845123937039E-2</v>
      </c>
      <c r="E11" s="60">
        <f>'Data Sheet'!D25/'Data Sheet'!D$18</f>
        <v>4.1637361091574059E-2</v>
      </c>
      <c r="F11" s="60">
        <f>'Data Sheet'!E25/'Data Sheet'!E$18</f>
        <v>3.9506486899007889E-2</v>
      </c>
      <c r="G11" s="60">
        <f>'Data Sheet'!F25/'Data Sheet'!F$18</f>
        <v>4.2430183746826534E-2</v>
      </c>
      <c r="H11" s="60">
        <f>'Data Sheet'!G25/'Data Sheet'!G$18</f>
        <v>4.6674321680700862E-2</v>
      </c>
      <c r="I11" s="60">
        <f>'Data Sheet'!H25/'Data Sheet'!H$18</f>
        <v>4.4979598062769327E-2</v>
      </c>
      <c r="J11" s="60">
        <f>'Data Sheet'!I25/'Data Sheet'!I$18</f>
        <v>3.742159128425223E-2</v>
      </c>
      <c r="K11" s="60">
        <f>'Data Sheet'!J25/'Data Sheet'!J$18</f>
        <v>4.5334108827711002E-2</v>
      </c>
      <c r="L11" s="60">
        <f>'Data Sheet'!K25/'Data Sheet'!K$18</f>
        <v>4.8414949066079432E-2</v>
      </c>
    </row>
    <row r="12" spans="1:17" x14ac:dyDescent="0.3">
      <c r="B12" s="40" t="str">
        <f>'Data Sheet'!A26</f>
        <v>Other Income</v>
      </c>
      <c r="C12" s="60">
        <f>'Data Sheet'!B26/'Data Sheet'!B$18</f>
        <v>1.5099732803082085E-2</v>
      </c>
      <c r="D12" s="60">
        <f>'Data Sheet'!C26/'Data Sheet'!C$18</f>
        <v>1.8273927989867923E-2</v>
      </c>
      <c r="E12" s="60">
        <f>'Data Sheet'!D26/'Data Sheet'!D$18</f>
        <v>9.9310732873821913E-3</v>
      </c>
      <c r="F12" s="60">
        <f>'Data Sheet'!E26/'Data Sheet'!E$18</f>
        <v>8.1912999236835402E-3</v>
      </c>
      <c r="G12" s="60">
        <f>'Data Sheet'!F26/'Data Sheet'!F$18</f>
        <v>1.0657818666264484E-2</v>
      </c>
      <c r="H12" s="60">
        <f>'Data Sheet'!G26/'Data Sheet'!G$18</f>
        <v>3.6148677383686313E-3</v>
      </c>
      <c r="I12" s="60">
        <f>'Data Sheet'!H26/'Data Sheet'!H$18</f>
        <v>4.1757236014186017E-3</v>
      </c>
      <c r="J12" s="60">
        <f>'Data Sheet'!I26/'Data Sheet'!I$18</f>
        <v>7.3951799273687686E-3</v>
      </c>
      <c r="K12" s="60">
        <f>'Data Sheet'!J26/'Data Sheet'!J$18</f>
        <v>1.3199560553185989E-2</v>
      </c>
      <c r="L12" s="60">
        <f>'Data Sheet'!K26/'Data Sheet'!K$18</f>
        <v>2.0943901395732007E-2</v>
      </c>
    </row>
    <row r="13" spans="1:17" x14ac:dyDescent="0.3">
      <c r="B13" s="40" t="str">
        <f>'Data Sheet'!A27</f>
        <v>Depreciation</v>
      </c>
      <c r="C13" s="60">
        <f>'Data Sheet'!B27/'Data Sheet'!B$18</f>
        <v>1.0967501398123409E-2</v>
      </c>
      <c r="D13" s="60">
        <f>'Data Sheet'!C27/'Data Sheet'!C$18</f>
        <v>1.3026958567034558E-2</v>
      </c>
      <c r="E13" s="60">
        <f>'Data Sheet'!D27/'Data Sheet'!D$18</f>
        <v>1.4629343086228723E-2</v>
      </c>
      <c r="F13" s="60">
        <f>'Data Sheet'!E27/'Data Sheet'!E$18</f>
        <v>1.437293309590435E-2</v>
      </c>
      <c r="G13" s="60">
        <f>'Data Sheet'!F27/'Data Sheet'!F$18</f>
        <v>2.5186637508483524E-2</v>
      </c>
      <c r="H13" s="60">
        <f>'Data Sheet'!G27/'Data Sheet'!G$18</f>
        <v>2.2837458535340648E-2</v>
      </c>
      <c r="I13" s="60">
        <f>'Data Sheet'!H27/'Data Sheet'!H$18</f>
        <v>2.0802349082866187E-2</v>
      </c>
      <c r="J13" s="60">
        <f>'Data Sheet'!I27/'Data Sheet'!I$18</f>
        <v>1.8768570485308684E-2</v>
      </c>
      <c r="K13" s="60">
        <f>'Data Sheet'!J27/'Data Sheet'!J$18</f>
        <v>1.9645857567532635E-2</v>
      </c>
      <c r="L13" s="60">
        <f>'Data Sheet'!K27/'Data Sheet'!K$18</f>
        <v>2.1466706801223048E-2</v>
      </c>
    </row>
    <row r="14" spans="1:17" x14ac:dyDescent="0.3">
      <c r="B14" s="40" t="str">
        <f>'Data Sheet'!A28</f>
        <v>Interest</v>
      </c>
      <c r="C14" s="60">
        <f>'Data Sheet'!B28/'Data Sheet'!B$18</f>
        <v>5.2817995401727462E-4</v>
      </c>
      <c r="D14" s="60">
        <f>'Data Sheet'!C28/'Data Sheet'!C$18</f>
        <v>1.0554248839032628E-3</v>
      </c>
      <c r="E14" s="60">
        <f>'Data Sheet'!D28/'Data Sheet'!D$18</f>
        <v>7.3146715431143621E-4</v>
      </c>
      <c r="F14" s="60">
        <f>'Data Sheet'!E28/'Data Sheet'!E$18</f>
        <v>8.3948104807936915E-4</v>
      </c>
      <c r="G14" s="60">
        <f>'Data Sheet'!F28/'Data Sheet'!F$18</f>
        <v>2.9660910439132291E-3</v>
      </c>
      <c r="H14" s="60">
        <f>'Data Sheet'!G28/'Data Sheet'!G$18</f>
        <v>2.4878795611125285E-3</v>
      </c>
      <c r="I14" s="60">
        <f>'Data Sheet'!H28/'Data Sheet'!H$18</f>
        <v>2.0211264920108303E-3</v>
      </c>
      <c r="J14" s="60">
        <f>'Data Sheet'!I28/'Data Sheet'!I$18</f>
        <v>1.881809177946517E-3</v>
      </c>
      <c r="K14" s="60">
        <f>'Data Sheet'!J28/'Data Sheet'!J$18</f>
        <v>5.3961483779242604E-3</v>
      </c>
      <c r="L14" s="60">
        <f>'Data Sheet'!K28/'Data Sheet'!K$18</f>
        <v>6.2578222778473091E-3</v>
      </c>
    </row>
    <row r="15" spans="1:17" x14ac:dyDescent="0.3">
      <c r="B15" s="40" t="str">
        <f>'Data Sheet'!A29</f>
        <v>Profit before tax</v>
      </c>
      <c r="C15" s="60">
        <f>'Data Sheet'!B29/'Data Sheet'!B$18</f>
        <v>0.18722425899459391</v>
      </c>
      <c r="D15" s="60">
        <f>'Data Sheet'!C29/'Data Sheet'!C$18</f>
        <v>0.19501236354864002</v>
      </c>
      <c r="E15" s="60">
        <f>'Data Sheet'!D29/'Data Sheet'!D$18</f>
        <v>0.20554227036151357</v>
      </c>
      <c r="F15" s="60">
        <f>'Data Sheet'!E29/'Data Sheet'!E$18</f>
        <v>0.21887560417196641</v>
      </c>
      <c r="G15" s="60">
        <f>'Data Sheet'!F29/'Data Sheet'!F$18</f>
        <v>0.23037478319885379</v>
      </c>
      <c r="H15" s="60">
        <f>'Data Sheet'!G29/'Data Sheet'!G$18</f>
        <v>0.22550395509058432</v>
      </c>
      <c r="I15" s="60">
        <f>'Data Sheet'!H29/'Data Sheet'!H$18</f>
        <v>0.22649963772260992</v>
      </c>
      <c r="J15" s="60">
        <f>'Data Sheet'!I29/'Data Sheet'!I$18</f>
        <v>0.22027071640805546</v>
      </c>
      <c r="K15" s="60">
        <f>'Data Sheet'!J29/'Data Sheet'!J$18</f>
        <v>0.22499030632027917</v>
      </c>
      <c r="L15" s="60">
        <f>'Data Sheet'!K29/'Data Sheet'!K$18</f>
        <v>0.22837090667131382</v>
      </c>
    </row>
    <row r="16" spans="1:17" x14ac:dyDescent="0.3">
      <c r="B16" s="40" t="str">
        <f>'Data Sheet'!A30</f>
        <v>Tax</v>
      </c>
      <c r="C16" s="60">
        <f>'Data Sheet'!B30/'Data Sheet'!B$18</f>
        <v>5.8255141987199402E-2</v>
      </c>
      <c r="D16" s="60">
        <f>'Data Sheet'!C30/'Data Sheet'!C$18</f>
        <v>5.9616428442192872E-2</v>
      </c>
      <c r="E16" s="60">
        <f>'Data Sheet'!D30/'Data Sheet'!D$18</f>
        <v>5.8489238992825994E-2</v>
      </c>
      <c r="F16" s="60">
        <f>'Data Sheet'!E30/'Data Sheet'!E$18</f>
        <v>6.4716357161027735E-2</v>
      </c>
      <c r="G16" s="60">
        <f>'Data Sheet'!F30/'Data Sheet'!F$18</f>
        <v>6.0553502752431945E-2</v>
      </c>
      <c r="H16" s="60">
        <f>'Data Sheet'!G30/'Data Sheet'!G$18</f>
        <v>5.5413796036403846E-2</v>
      </c>
      <c r="I16" s="60">
        <f>'Data Sheet'!H30/'Data Sheet'!H$18</f>
        <v>5.6953819166380655E-2</v>
      </c>
      <c r="J16" s="60">
        <f>'Data Sheet'!I30/'Data Sheet'!I$18</f>
        <v>5.2839220864971941E-2</v>
      </c>
      <c r="K16" s="60">
        <f>'Data Sheet'!J30/'Data Sheet'!J$18</f>
        <v>5.8872948171125761E-2</v>
      </c>
      <c r="L16" s="60">
        <f>'Data Sheet'!K30/'Data Sheet'!K$18</f>
        <v>5.9314649641165382E-2</v>
      </c>
    </row>
    <row r="17" spans="2:12" x14ac:dyDescent="0.3">
      <c r="B17" s="40" t="str">
        <f>'Data Sheet'!A31</f>
        <v>Net profit</v>
      </c>
      <c r="C17" s="60">
        <f>'Data Sheet'!B31/'Data Sheet'!B$18</f>
        <v>0.12896911700739452</v>
      </c>
      <c r="D17" s="60">
        <f>'Data Sheet'!C31/'Data Sheet'!C$18</f>
        <v>0.13497376515288584</v>
      </c>
      <c r="E17" s="60">
        <f>'Data Sheet'!D31/'Data Sheet'!D$18</f>
        <v>0.14668729779153186</v>
      </c>
      <c r="F17" s="60">
        <f>'Data Sheet'!E31/'Data Sheet'!E$18</f>
        <v>0.15400661409310609</v>
      </c>
      <c r="G17" s="60">
        <f>'Data Sheet'!F31/'Data Sheet'!F$18</f>
        <v>0.16962018952819044</v>
      </c>
      <c r="H17" s="60">
        <f>'Data Sheet'!G31/'Data Sheet'!G$18</f>
        <v>0.17000510334268945</v>
      </c>
      <c r="I17" s="60">
        <f>'Data Sheet'!H31/'Data Sheet'!H$18</f>
        <v>0.16929794455249209</v>
      </c>
      <c r="J17" s="60">
        <f>'Data Sheet'!I31/'Data Sheet'!I$18</f>
        <v>0.16705183228788378</v>
      </c>
      <c r="K17" s="60">
        <f>'Data Sheet'!J31/'Data Sheet'!J$18</f>
        <v>0.16603657748481324</v>
      </c>
      <c r="L17" s="60">
        <f>'Data Sheet'!K31/'Data Sheet'!K$18</f>
        <v>0.16870772009315441</v>
      </c>
    </row>
    <row r="18" spans="2:12" x14ac:dyDescent="0.3">
      <c r="B18" s="40" t="str">
        <f>'Data Sheet'!A32</f>
        <v>Dividend Amount</v>
      </c>
      <c r="C18" s="60">
        <f>'Data Sheet'!B32/'Data Sheet'!B$18</f>
        <v>0.10737587771080594</v>
      </c>
      <c r="D18" s="60">
        <f>'Data Sheet'!C32/'Data Sheet'!C$18</f>
        <v>0.11072914781979373</v>
      </c>
      <c r="E18" s="60">
        <f>'Data Sheet'!D32/'Data Sheet'!D$18</f>
        <v>0.12153608102405401</v>
      </c>
      <c r="F18" s="60">
        <f>'Data Sheet'!E32/'Data Sheet'!E$18</f>
        <v>0.12088527092342916</v>
      </c>
      <c r="G18" s="60">
        <f>'Data Sheet'!F32/'Data Sheet'!F$18</f>
        <v>0.13573636980619863</v>
      </c>
      <c r="H18" s="60">
        <f>'Data Sheet'!G32/'Data Sheet'!G$18</f>
        <v>0.20237943352896148</v>
      </c>
      <c r="I18" s="60">
        <f>'Data Sheet'!H32/'Data Sheet'!H$18</f>
        <v>0.15234717614308049</v>
      </c>
      <c r="J18" s="60">
        <f>'Data Sheet'!I32/'Data Sheet'!I$18</f>
        <v>0.15128755364806867</v>
      </c>
      <c r="K18" s="60">
        <f>'Data Sheet'!J32/'Data Sheet'!J$18</f>
        <v>0.1594610314075223</v>
      </c>
      <c r="L18" s="60">
        <f>'Data Sheet'!K32/'Data Sheet'!K$18</f>
        <v>0.19731943410275501</v>
      </c>
    </row>
    <row r="19" spans="2:12" x14ac:dyDescent="0.3">
      <c r="B19" s="40" t="str">
        <f>'Data Sheet'!A33</f>
        <v>EBITDA</v>
      </c>
      <c r="C19" s="60">
        <f>'Data Sheet'!B33/'Data Sheet'!B$18</f>
        <v>0.1987199403467346</v>
      </c>
      <c r="D19" s="60">
        <f>'Data Sheet'!C33/'Data Sheet'!C$18</f>
        <v>0.20909474699957784</v>
      </c>
      <c r="E19" s="60">
        <f>'Data Sheet'!D33/'Data Sheet'!D$18</f>
        <v>0.22090308060205374</v>
      </c>
      <c r="F19" s="60">
        <f>'Data Sheet'!E33/'Data Sheet'!E$18</f>
        <v>0.23408801831595014</v>
      </c>
      <c r="G19" s="60">
        <f>'Data Sheet'!F33/'Data Sheet'!F$18</f>
        <v>0.25852751175125055</v>
      </c>
      <c r="H19" s="60">
        <f>'Data Sheet'!G33/'Data Sheet'!G$18</f>
        <v>0.25082929318703751</v>
      </c>
      <c r="I19" s="60">
        <f>'Data Sheet'!H33/'Data Sheet'!H$18</f>
        <v>0.24932311329748694</v>
      </c>
      <c r="J19" s="60">
        <f>'Data Sheet'!I33/'Data Sheet'!I$18</f>
        <v>0.24092109607131065</v>
      </c>
      <c r="K19" s="60">
        <f>'Data Sheet'!J33/'Data Sheet'!J$18</f>
        <v>0.25003231226573608</v>
      </c>
      <c r="L19" s="60">
        <f>'Data Sheet'!K33/'Data Sheet'!K$18</f>
        <v>0.25609543575038418</v>
      </c>
    </row>
    <row r="20" spans="2:12" x14ac:dyDescent="0.3">
      <c r="B20" s="40" t="str">
        <f>'Data Sheet'!A34</f>
        <v>EBIT</v>
      </c>
      <c r="C20" s="60">
        <f>'Data Sheet'!B34/'Data Sheet'!B$18</f>
        <v>0.18775243894861121</v>
      </c>
      <c r="D20" s="60">
        <f>'Data Sheet'!C34/'Data Sheet'!C$18</f>
        <v>0.19606778843254327</v>
      </c>
      <c r="E20" s="60">
        <f>'Data Sheet'!D34/'Data Sheet'!D$18</f>
        <v>0.20627373751582501</v>
      </c>
      <c r="F20" s="60">
        <f>'Data Sheet'!E34/'Data Sheet'!E$18</f>
        <v>0.21971508522004579</v>
      </c>
      <c r="G20" s="60">
        <f>'Data Sheet'!F34/'Data Sheet'!F$18</f>
        <v>0.233340874242767</v>
      </c>
      <c r="H20" s="60">
        <f>'Data Sheet'!G34/'Data Sheet'!G$18</f>
        <v>0.22799183465169687</v>
      </c>
      <c r="I20" s="60">
        <f>'Data Sheet'!H34/'Data Sheet'!H$18</f>
        <v>0.22852076421462075</v>
      </c>
      <c r="J20" s="60">
        <f>'Data Sheet'!I34/'Data Sheet'!I$18</f>
        <v>0.22215252558600199</v>
      </c>
      <c r="K20" s="60">
        <f>'Data Sheet'!J34/'Data Sheet'!J$18</f>
        <v>0.23038645469820343</v>
      </c>
      <c r="L20" s="60">
        <f>'Data Sheet'!K34/'Data Sheet'!K$18</f>
        <v>0.23462872894916115</v>
      </c>
    </row>
    <row r="21" spans="2:12" x14ac:dyDescent="0.3">
      <c r="B21" s="40"/>
    </row>
    <row r="23" spans="2:12" x14ac:dyDescent="0.3">
      <c r="B23" s="93" t="s">
        <v>198</v>
      </c>
      <c r="C23" s="93"/>
      <c r="D23" s="93"/>
      <c r="E23" s="93"/>
      <c r="F23" s="93"/>
      <c r="G23" s="93"/>
      <c r="H23" s="93"/>
      <c r="I23" s="93"/>
      <c r="J23" s="93"/>
      <c r="K23" s="93"/>
      <c r="L23" s="93"/>
    </row>
    <row r="24" spans="2:12" x14ac:dyDescent="0.3">
      <c r="B24" s="19" t="s">
        <v>59</v>
      </c>
      <c r="C24" s="16">
        <v>42460</v>
      </c>
      <c r="D24" s="16">
        <v>42825</v>
      </c>
      <c r="E24" s="16">
        <v>43190</v>
      </c>
      <c r="F24" s="16">
        <v>43555</v>
      </c>
      <c r="G24" s="16">
        <v>43921</v>
      </c>
      <c r="H24" s="16">
        <v>44286</v>
      </c>
      <c r="I24" s="16">
        <v>44651</v>
      </c>
      <c r="J24" s="16">
        <v>45016</v>
      </c>
      <c r="K24" s="16">
        <v>45382</v>
      </c>
      <c r="L24" s="16">
        <v>45747</v>
      </c>
    </row>
    <row r="26" spans="2:12" x14ac:dyDescent="0.3">
      <c r="B26" s="40" t="str">
        <f>'Data Sheet'!A58</f>
        <v>Equity Share Capital</v>
      </c>
      <c r="C26" s="60">
        <f>'Data Sheet'!B58/'Data Sheet'!B$63</f>
        <v>1.4601500709795174E-2</v>
      </c>
      <c r="D26" s="60">
        <f>'Data Sheet'!C58/'Data Sheet'!C$63</f>
        <v>1.3752705972239909E-2</v>
      </c>
      <c r="E26" s="60">
        <f>'Data Sheet'!D58/'Data Sheet'!D$63</f>
        <v>1.2092710782667115E-2</v>
      </c>
      <c r="F26" s="60">
        <f>'Data Sheet'!E58/'Data Sheet'!E$63</f>
        <v>1.1594825272424714E-2</v>
      </c>
      <c r="G26" s="60">
        <f>'Data Sheet'!F58/'Data Sheet'!F$63</f>
        <v>1.0718007244578972E-2</v>
      </c>
      <c r="H26" s="60">
        <f>'Data Sheet'!G58/'Data Sheet'!G$63</f>
        <v>3.4186790805935409E-3</v>
      </c>
      <c r="I26" s="60">
        <f>'Data Sheet'!H58/'Data Sheet'!H$63</f>
        <v>3.3330496695316712E-3</v>
      </c>
      <c r="J26" s="60">
        <f>'Data Sheet'!I58/'Data Sheet'!I$63</f>
        <v>3.2157860886462223E-3</v>
      </c>
      <c r="K26" s="60">
        <f>'Data Sheet'!J58/'Data Sheet'!J$63</f>
        <v>2.9940501216731007E-3</v>
      </c>
      <c r="L26" s="60">
        <f>'Data Sheet'!K58/'Data Sheet'!K$63</f>
        <v>2.9425390982056772E-3</v>
      </c>
    </row>
    <row r="27" spans="2:12" x14ac:dyDescent="0.3">
      <c r="B27" s="40" t="str">
        <f>'Data Sheet'!A59</f>
        <v>Reserves</v>
      </c>
      <c r="C27" s="60">
        <f>'Data Sheet'!B59/'Data Sheet'!B$63</f>
        <v>0.42973027783411072</v>
      </c>
      <c r="D27" s="60">
        <f>'Data Sheet'!C59/'Data Sheet'!C$63</f>
        <v>0.41563733604991721</v>
      </c>
      <c r="E27" s="60">
        <f>'Data Sheet'!D59/'Data Sheet'!D$63</f>
        <v>0.3955324151830702</v>
      </c>
      <c r="F27" s="60">
        <f>'Data Sheet'!E59/'Data Sheet'!E$63</f>
        <v>0.41070374147834021</v>
      </c>
      <c r="G27" s="60">
        <f>'Data Sheet'!F59/'Data Sheet'!F$63</f>
        <v>0.39760829653153379</v>
      </c>
      <c r="H27" s="60">
        <f>'Data Sheet'!G59/'Data Sheet'!G$63</f>
        <v>0.69012219959266807</v>
      </c>
      <c r="I27" s="60">
        <f>'Data Sheet'!H59/'Data Sheet'!H$63</f>
        <v>0.69250843899809944</v>
      </c>
      <c r="J27" s="60">
        <f>'Data Sheet'!I59/'Data Sheet'!I$63</f>
        <v>0.68515401562735201</v>
      </c>
      <c r="K27" s="60">
        <f>'Data Sheet'!J59/'Data Sheet'!J$63</f>
        <v>0.64955598873727527</v>
      </c>
      <c r="L27" s="60">
        <f>'Data Sheet'!K59/'Data Sheet'!K$63</f>
        <v>0.6156417865594831</v>
      </c>
    </row>
    <row r="28" spans="2:12" x14ac:dyDescent="0.3">
      <c r="B28" s="40" t="str">
        <f>'Data Sheet'!A60</f>
        <v>Borrowings</v>
      </c>
      <c r="C28" s="60">
        <f>'Data Sheet'!B60/'Data Sheet'!B$63</f>
        <v>1.1965118637193267E-2</v>
      </c>
      <c r="D28" s="60">
        <f>'Data Sheet'!C60/'Data Sheet'!C$63</f>
        <v>1.7636572010696547E-2</v>
      </c>
      <c r="E28" s="60">
        <f>'Data Sheet'!D60/'Data Sheet'!D$63</f>
        <v>0</v>
      </c>
      <c r="F28" s="60">
        <f>'Data Sheet'!E60/'Data Sheet'!E$63</f>
        <v>5.3142949165279939E-3</v>
      </c>
      <c r="G28" s="60">
        <f>'Data Sheet'!F60/'Data Sheet'!F$63</f>
        <v>0</v>
      </c>
      <c r="H28" s="60">
        <f>'Data Sheet'!G60/'Data Sheet'!G$63</f>
        <v>0</v>
      </c>
      <c r="I28" s="60">
        <f>'Data Sheet'!H60/'Data Sheet'!H$63</f>
        <v>1.4793067256687375E-2</v>
      </c>
      <c r="J28" s="60">
        <f>'Data Sheet'!I60/'Data Sheet'!I$63</f>
        <v>1.668103507259466E-2</v>
      </c>
      <c r="K28" s="60">
        <f>'Data Sheet'!J60/'Data Sheet'!J$63</f>
        <v>1.8907108002395239E-2</v>
      </c>
      <c r="L28" s="60">
        <f>'Data Sheet'!K60/'Data Sheet'!K$63</f>
        <v>2.0635338016353005E-2</v>
      </c>
    </row>
    <row r="29" spans="2:12" x14ac:dyDescent="0.3">
      <c r="B29" s="40" t="str">
        <f>'Data Sheet'!A61</f>
        <v>Other Liabilities</v>
      </c>
      <c r="C29" s="60">
        <f>'Data Sheet'!B61/'Data Sheet'!B$63</f>
        <v>0.54370310281890089</v>
      </c>
      <c r="D29" s="60">
        <f>'Data Sheet'!C61/'Data Sheet'!C$63</f>
        <v>0.55297338596714629</v>
      </c>
      <c r="E29" s="60">
        <f>'Data Sheet'!D61/'Data Sheet'!D$63</f>
        <v>0.5923748740342627</v>
      </c>
      <c r="F29" s="60">
        <f>'Data Sheet'!E61/'Data Sheet'!E$63</f>
        <v>0.57238713833270705</v>
      </c>
      <c r="G29" s="60">
        <f>'Data Sheet'!F61/'Data Sheet'!F$63</f>
        <v>0.59167369622388721</v>
      </c>
      <c r="H29" s="60">
        <f>'Data Sheet'!G61/'Data Sheet'!G$63</f>
        <v>0.30645912132673842</v>
      </c>
      <c r="I29" s="60">
        <f>'Data Sheet'!H61/'Data Sheet'!H$63</f>
        <v>0.28936544407568149</v>
      </c>
      <c r="J29" s="60">
        <f>'Data Sheet'!I61/'Data Sheet'!I$63</f>
        <v>0.29494916321140713</v>
      </c>
      <c r="K29" s="60">
        <f>'Data Sheet'!J61/'Data Sheet'!J$63</f>
        <v>0.32854285313865639</v>
      </c>
      <c r="L29" s="60">
        <f>'Data Sheet'!K61/'Data Sheet'!K$63</f>
        <v>0.36078033632595818</v>
      </c>
    </row>
    <row r="30" spans="2:12" x14ac:dyDescent="0.3">
      <c r="B30" s="40"/>
      <c r="C30" s="60"/>
      <c r="D30" s="60"/>
      <c r="E30" s="60"/>
      <c r="F30" s="60"/>
      <c r="G30" s="60"/>
      <c r="H30" s="60"/>
      <c r="I30" s="60"/>
      <c r="J30" s="60"/>
      <c r="K30" s="60"/>
      <c r="L30" s="60"/>
    </row>
    <row r="31" spans="2:12" x14ac:dyDescent="0.3">
      <c r="B31" s="86" t="s">
        <v>78</v>
      </c>
      <c r="C31" s="87">
        <f>'Data Sheet'!B63/'Data Sheet'!B$63</f>
        <v>1</v>
      </c>
      <c r="D31" s="87">
        <f>'Data Sheet'!C63/'Data Sheet'!C$63</f>
        <v>1</v>
      </c>
      <c r="E31" s="87">
        <f>'Data Sheet'!D63/'Data Sheet'!D$63</f>
        <v>1</v>
      </c>
      <c r="F31" s="87">
        <f>'Data Sheet'!E63/'Data Sheet'!E$63</f>
        <v>1</v>
      </c>
      <c r="G31" s="87">
        <f>'Data Sheet'!F63/'Data Sheet'!F$63</f>
        <v>1</v>
      </c>
      <c r="H31" s="87">
        <f>'Data Sheet'!G63/'Data Sheet'!G$63</f>
        <v>1</v>
      </c>
      <c r="I31" s="87">
        <f>'Data Sheet'!H63/'Data Sheet'!H$63</f>
        <v>1</v>
      </c>
      <c r="J31" s="87">
        <f>'Data Sheet'!I63/'Data Sheet'!I$63</f>
        <v>1</v>
      </c>
      <c r="K31" s="87">
        <f>'Data Sheet'!J63/'Data Sheet'!J$63</f>
        <v>1</v>
      </c>
      <c r="L31" s="87">
        <f>'Data Sheet'!K63/'Data Sheet'!K$63</f>
        <v>1</v>
      </c>
    </row>
    <row r="32" spans="2:12" x14ac:dyDescent="0.3">
      <c r="B32" s="40"/>
      <c r="C32" s="60"/>
      <c r="D32" s="60"/>
      <c r="E32" s="60"/>
      <c r="F32" s="60"/>
      <c r="G32" s="60"/>
      <c r="H32" s="60"/>
      <c r="I32" s="60"/>
      <c r="J32" s="60"/>
      <c r="K32" s="60"/>
      <c r="L32" s="60"/>
    </row>
    <row r="33" spans="2:12" x14ac:dyDescent="0.3">
      <c r="B33" s="40" t="str">
        <f>'Data Sheet'!A64</f>
        <v>Net Block</v>
      </c>
      <c r="C33" s="60">
        <f>'Data Sheet'!B64/'Data Sheet'!B$68</f>
        <v>0.22023930237274386</v>
      </c>
      <c r="D33" s="60">
        <f>'Data Sheet'!C64/'Data Sheet'!C$68</f>
        <v>0.2813574430154081</v>
      </c>
      <c r="E33" s="60">
        <f>'Data Sheet'!D64/'Data Sheet'!D$68</f>
        <v>0.25349904825887359</v>
      </c>
      <c r="F33" s="60">
        <f>'Data Sheet'!E64/'Data Sheet'!E$68</f>
        <v>0.25310000536797467</v>
      </c>
      <c r="G33" s="60">
        <f>'Data Sheet'!F64/'Data Sheet'!F$68</f>
        <v>0.27187019302337123</v>
      </c>
      <c r="H33" s="60">
        <f>'Data Sheet'!G64/'Data Sheet'!G$68</f>
        <v>0.74837067209775965</v>
      </c>
      <c r="I33" s="60">
        <f>'Data Sheet'!H64/'Data Sheet'!H$68</f>
        <v>0.73005134314810083</v>
      </c>
      <c r="J33" s="60">
        <f>'Data Sheet'!I64/'Data Sheet'!I$68</f>
        <v>0.720856083309386</v>
      </c>
      <c r="K33" s="60">
        <f>'Data Sheet'!J64/'Data Sheet'!J$68</f>
        <v>0.68473289250723035</v>
      </c>
      <c r="L33" s="60">
        <f>'Data Sheet'!K64/'Data Sheet'!K$68</f>
        <v>0.68035260383406582</v>
      </c>
    </row>
    <row r="34" spans="2:12" x14ac:dyDescent="0.3">
      <c r="B34" s="40" t="str">
        <f>'Data Sheet'!A65</f>
        <v>Capital Work in Progress</v>
      </c>
      <c r="C34" s="60">
        <f>'Data Sheet'!B65/'Data Sheet'!B$68</f>
        <v>2.7580612451835327E-2</v>
      </c>
      <c r="D34" s="60">
        <f>'Data Sheet'!C65/'Data Sheet'!C$68</f>
        <v>1.458041512797657E-2</v>
      </c>
      <c r="E34" s="60">
        <f>'Data Sheet'!D65/'Data Sheet'!D$68</f>
        <v>2.5808979957451572E-2</v>
      </c>
      <c r="F34" s="60">
        <f>'Data Sheet'!E65/'Data Sheet'!E$68</f>
        <v>2.1793977132427936E-2</v>
      </c>
      <c r="G34" s="60">
        <f>'Data Sheet'!F65/'Data Sheet'!F$68</f>
        <v>2.9623381134322432E-2</v>
      </c>
      <c r="H34" s="60">
        <f>'Data Sheet'!G65/'Data Sheet'!G$68</f>
        <v>1.0837940064009311E-2</v>
      </c>
      <c r="I34" s="60">
        <f>'Data Sheet'!H65/'Data Sheet'!H$68</f>
        <v>1.8622528579128019E-2</v>
      </c>
      <c r="J34" s="60">
        <f>'Data Sheet'!I65/'Data Sheet'!I$68</f>
        <v>1.5490510009989463E-2</v>
      </c>
      <c r="K34" s="60">
        <f>'Data Sheet'!J65/'Data Sheet'!J$68</f>
        <v>1.305915478602097E-2</v>
      </c>
      <c r="L34" s="60">
        <f>'Data Sheet'!K65/'Data Sheet'!K$68</f>
        <v>1.263413595782778E-2</v>
      </c>
    </row>
    <row r="35" spans="2:12" x14ac:dyDescent="0.3">
      <c r="B35" s="40" t="str">
        <f>'Data Sheet'!A66</f>
        <v>Investments</v>
      </c>
      <c r="C35" s="60">
        <f>'Data Sheet'!B66/'Data Sheet'!B$68</f>
        <v>0.17521800851754207</v>
      </c>
      <c r="D35" s="60">
        <f>'Data Sheet'!C66/'Data Sheet'!C$68</f>
        <v>0.24156373360499173</v>
      </c>
      <c r="E35" s="60">
        <f>'Data Sheet'!D66/'Data Sheet'!D$68</f>
        <v>0.16084425036390101</v>
      </c>
      <c r="F35" s="60">
        <f>'Data Sheet'!E66/'Data Sheet'!E$68</f>
        <v>0.14579419185141446</v>
      </c>
      <c r="G35" s="60">
        <f>'Data Sheet'!F66/'Data Sheet'!F$68</f>
        <v>6.2273606907160224E-2</v>
      </c>
      <c r="H35" s="60">
        <f>'Data Sheet'!G66/'Data Sheet'!G$68</f>
        <v>3.9409368635437883E-2</v>
      </c>
      <c r="I35" s="60">
        <f>'Data Sheet'!H66/'Data Sheet'!H$68</f>
        <v>4.9939012282642609E-2</v>
      </c>
      <c r="J35" s="60">
        <f>'Data Sheet'!I66/'Data Sheet'!I$68</f>
        <v>3.9437853223312398E-2</v>
      </c>
      <c r="K35" s="60">
        <f>'Data Sheet'!J66/'Data Sheet'!J$68</f>
        <v>5.8925454522289748E-2</v>
      </c>
      <c r="L35" s="60">
        <f>'Data Sheet'!K66/'Data Sheet'!K$68</f>
        <v>4.7706697719845238E-2</v>
      </c>
    </row>
    <row r="36" spans="2:12" x14ac:dyDescent="0.3">
      <c r="B36" s="40" t="str">
        <f>'Data Sheet'!A67</f>
        <v>Other Assets</v>
      </c>
      <c r="C36" s="60">
        <f>'Data Sheet'!B76/'Data Sheet'!B$68</f>
        <v>0.10383289393632124</v>
      </c>
      <c r="D36" s="60">
        <f>'Data Sheet'!C76/'Data Sheet'!C$68</f>
        <v>0.1152425824525659</v>
      </c>
      <c r="E36" s="60">
        <f>'Data Sheet'!D76/'Data Sheet'!D$68</f>
        <v>0.15071100660620312</v>
      </c>
      <c r="F36" s="60">
        <f>'Data Sheet'!E76/'Data Sheet'!E$68</f>
        <v>0.14198292984057115</v>
      </c>
      <c r="G36" s="60">
        <f>'Data Sheet'!F76/'Data Sheet'!F$68</f>
        <v>0.18821019203096312</v>
      </c>
      <c r="H36" s="60">
        <f>'Data Sheet'!G76/'Data Sheet'!G$68</f>
        <v>5.8699447192318885E-2</v>
      </c>
      <c r="I36" s="60">
        <f>'Data Sheet'!H76/'Data Sheet'!H$68</f>
        <v>5.7030607324199359E-2</v>
      </c>
      <c r="J36" s="60">
        <f>'Data Sheet'!I76/'Data Sheet'!I$68</f>
        <v>5.9895726425551132E-2</v>
      </c>
      <c r="K36" s="60">
        <f>'Data Sheet'!J76/'Data Sheet'!J$68</f>
        <v>5.7549465530201682E-2</v>
      </c>
      <c r="L36" s="60">
        <f>'Data Sheet'!K76/'Data Sheet'!K$68</f>
        <v>6.1618020860723988E-2</v>
      </c>
    </row>
    <row r="37" spans="2:12" x14ac:dyDescent="0.3">
      <c r="B37" s="40" t="str">
        <f>'Data Sheet'!A69</f>
        <v>Receivables</v>
      </c>
      <c r="C37" s="60">
        <f>'Data Sheet'!B69/'Data Sheet'!B$68</f>
        <v>8.5445818968431009E-2</v>
      </c>
      <c r="D37" s="60">
        <f>'Data Sheet'!C69/'Data Sheet'!C$68</f>
        <v>6.9081879536482871E-2</v>
      </c>
      <c r="E37" s="60">
        <f>'Data Sheet'!D69/'Data Sheet'!D$68</f>
        <v>7.3340051505990364E-2</v>
      </c>
      <c r="F37" s="60">
        <f>'Data Sheet'!E69/'Data Sheet'!E$68</f>
        <v>9.748241988297815E-2</v>
      </c>
      <c r="G37" s="60">
        <f>'Data Sheet'!F69/'Data Sheet'!F$68</f>
        <v>5.7013844092690912E-2</v>
      </c>
      <c r="H37" s="60">
        <f>'Data Sheet'!G69/'Data Sheet'!G$68</f>
        <v>2.5574629036950829E-2</v>
      </c>
      <c r="I37" s="60">
        <f>'Data Sheet'!H69/'Data Sheet'!H$68</f>
        <v>3.1713613025841775E-2</v>
      </c>
      <c r="J37" s="60">
        <f>'Data Sheet'!I69/'Data Sheet'!I$68</f>
        <v>4.2133639859326465E-2</v>
      </c>
      <c r="K37" s="60">
        <f>'Data Sheet'!J69/'Data Sheet'!J$68</f>
        <v>3.8183694530443756E-2</v>
      </c>
      <c r="L37" s="60">
        <f>'Data Sheet'!K69/'Data Sheet'!K$68</f>
        <v>4.781939070658503E-2</v>
      </c>
    </row>
    <row r="38" spans="2:12" x14ac:dyDescent="0.3">
      <c r="B38" s="40" t="str">
        <f>'Data Sheet'!A70</f>
        <v>Inventory</v>
      </c>
      <c r="C38" s="60">
        <f>'Data Sheet'!B70/'Data Sheet'!B$68</f>
        <v>0.18427634692084094</v>
      </c>
      <c r="D38" s="60">
        <f>'Data Sheet'!C70/'Data Sheet'!C$68</f>
        <v>0.16178530497898891</v>
      </c>
      <c r="E38" s="60">
        <f>'Data Sheet'!D70/'Data Sheet'!D$68</f>
        <v>0.14068973239278917</v>
      </c>
      <c r="F38" s="60">
        <f>'Data Sheet'!E70/'Data Sheet'!E$68</f>
        <v>0.13817166782972784</v>
      </c>
      <c r="G38" s="60">
        <f>'Data Sheet'!F70/'Data Sheet'!F$68</f>
        <v>0.13729965761921303</v>
      </c>
      <c r="H38" s="60">
        <f>'Data Sheet'!G70/'Data Sheet'!G$68</f>
        <v>5.2065755018911843E-2</v>
      </c>
      <c r="I38" s="60">
        <f>'Data Sheet'!H70/'Data Sheet'!H$68</f>
        <v>5.8094346580432873E-2</v>
      </c>
      <c r="J38" s="60">
        <f>'Data Sheet'!I70/'Data Sheet'!I$68</f>
        <v>5.8171517714191878E-2</v>
      </c>
      <c r="K38" s="60">
        <f>'Data Sheet'!J70/'Data Sheet'!J$68</f>
        <v>5.1242849316464729E-2</v>
      </c>
      <c r="L38" s="60">
        <f>'Data Sheet'!K70/'Data Sheet'!K$68</f>
        <v>5.5282170717353467E-2</v>
      </c>
    </row>
    <row r="39" spans="2:12" x14ac:dyDescent="0.3">
      <c r="B39" s="40" t="str">
        <f>'Data Sheet'!A71</f>
        <v>Cash &amp; Bank</v>
      </c>
      <c r="C39" s="60">
        <f>'Data Sheet'!B71/'Data Sheet'!B$68</f>
        <v>0.20340701683228554</v>
      </c>
      <c r="D39" s="60">
        <f>'Data Sheet'!C71/'Data Sheet'!C$68</f>
        <v>0.11638864128358589</v>
      </c>
      <c r="E39" s="60">
        <f>'Data Sheet'!D71/'Data Sheet'!D$68</f>
        <v>0.19510693091479117</v>
      </c>
      <c r="F39" s="60">
        <f>'Data Sheet'!E71/'Data Sheet'!E$68</f>
        <v>0.20167480809490579</v>
      </c>
      <c r="G39" s="60">
        <f>'Data Sheet'!F71/'Data Sheet'!F$68</f>
        <v>0.25370912519227906</v>
      </c>
      <c r="H39" s="60">
        <f>'Data Sheet'!G71/'Data Sheet'!G$68</f>
        <v>6.5042187954611586E-2</v>
      </c>
      <c r="I39" s="60">
        <f>'Data Sheet'!H71/'Data Sheet'!H$68</f>
        <v>5.4548549059654498E-2</v>
      </c>
      <c r="J39" s="60">
        <f>'Data Sheet'!I71/'Data Sheet'!I$68</f>
        <v>6.4014669458242676E-2</v>
      </c>
      <c r="K39" s="60">
        <f>'Data Sheet'!J71/'Data Sheet'!J$68</f>
        <v>9.6306488807348795E-2</v>
      </c>
      <c r="L39" s="60">
        <f>'Data Sheet'!K71/'Data Sheet'!K$68</f>
        <v>9.4586980203598667E-2</v>
      </c>
    </row>
    <row r="40" spans="2:12" x14ac:dyDescent="0.3">
      <c r="B40" s="40"/>
      <c r="C40" s="60"/>
      <c r="D40" s="60"/>
      <c r="E40" s="60"/>
      <c r="F40" s="60"/>
      <c r="G40" s="60"/>
      <c r="H40" s="60"/>
      <c r="I40" s="60"/>
      <c r="J40" s="60"/>
      <c r="K40" s="60"/>
      <c r="L40" s="60"/>
    </row>
    <row r="41" spans="2:12" x14ac:dyDescent="0.3">
      <c r="B41" s="86" t="s">
        <v>79</v>
      </c>
      <c r="C41" s="87">
        <f>'Data Sheet'!B68/'Data Sheet'!B$68</f>
        <v>1</v>
      </c>
      <c r="D41" s="87">
        <f>'Data Sheet'!C68/'Data Sheet'!C$68</f>
        <v>1</v>
      </c>
      <c r="E41" s="87">
        <f>'Data Sheet'!D68/'Data Sheet'!D$68</f>
        <v>1</v>
      </c>
      <c r="F41" s="87">
        <f>'Data Sheet'!E68/'Data Sheet'!E$68</f>
        <v>1</v>
      </c>
      <c r="G41" s="87">
        <f>'Data Sheet'!F68/'Data Sheet'!F$68</f>
        <v>1</v>
      </c>
      <c r="H41" s="87">
        <f>'Data Sheet'!G68/'Data Sheet'!G$68</f>
        <v>1</v>
      </c>
      <c r="I41" s="87">
        <f>'Data Sheet'!H68/'Data Sheet'!H$68</f>
        <v>1</v>
      </c>
      <c r="J41" s="87">
        <f>'Data Sheet'!I68/'Data Sheet'!I$68</f>
        <v>1</v>
      </c>
      <c r="K41" s="87">
        <f>'Data Sheet'!J68/'Data Sheet'!J$68</f>
        <v>1</v>
      </c>
      <c r="L41" s="87">
        <f>'Data Sheet'!K68/'Data Sheet'!K$68</f>
        <v>1</v>
      </c>
    </row>
    <row r="42" spans="2:12" x14ac:dyDescent="0.3">
      <c r="B42" s="40"/>
    </row>
    <row r="43" spans="2:12" x14ac:dyDescent="0.3">
      <c r="B43" s="40">
        <f>'Data Sheet'!A75</f>
        <v>0</v>
      </c>
    </row>
  </sheetData>
  <mergeCells count="2">
    <mergeCell ref="B2:L2"/>
    <mergeCell ref="B23:L2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347B79-9F72-43B8-B0F9-FD98D6D94F33}">
  <dimension ref="A1:I25"/>
  <sheetViews>
    <sheetView showGridLines="0" workbookViewId="0">
      <selection activeCell="O28" sqref="O28"/>
    </sheetView>
  </sheetViews>
  <sheetFormatPr defaultRowHeight="14.4" x14ac:dyDescent="0.3"/>
  <cols>
    <col min="1" max="1" width="1.88671875" customWidth="1"/>
    <col min="2" max="2" width="20.5546875" customWidth="1"/>
    <col min="3" max="3" width="9.44140625" bestFit="1" customWidth="1"/>
    <col min="4" max="4" width="11" bestFit="1" customWidth="1"/>
  </cols>
  <sheetData>
    <row r="1" spans="1:4" x14ac:dyDescent="0.3">
      <c r="A1" s="11"/>
    </row>
    <row r="2" spans="1:4" x14ac:dyDescent="0.3">
      <c r="B2" s="97" t="str">
        <f>"Trend Analysis of "&amp;'Data Sheet'!B1</f>
        <v>Trend Analysis of HINDUSTAN UNILEVER LTD</v>
      </c>
      <c r="C2" s="97"/>
      <c r="D2" s="97"/>
    </row>
    <row r="3" spans="1:4" x14ac:dyDescent="0.3">
      <c r="B3" s="74" t="s">
        <v>59</v>
      </c>
      <c r="C3" s="76" t="s">
        <v>169</v>
      </c>
      <c r="D3" s="76" t="s">
        <v>170</v>
      </c>
    </row>
    <row r="4" spans="1:4" x14ac:dyDescent="0.3">
      <c r="B4" s="75" cm="1">
        <f t="array" ref="B4:B18">TRANSPOSE('3 Statement Model'!C3:Q3)</f>
        <v>42460</v>
      </c>
      <c r="C4" s="77" cm="1">
        <f t="array" ref="C4:C18">TRANSPOSE('3 Statement Model'!C6:Q6)</f>
        <v>32186</v>
      </c>
      <c r="D4" s="15">
        <v>0</v>
      </c>
    </row>
    <row r="5" spans="1:4" x14ac:dyDescent="0.3">
      <c r="B5" s="75">
        <v>42825</v>
      </c>
      <c r="C5" s="77">
        <v>33162</v>
      </c>
      <c r="D5" s="78">
        <f>C5/+C4-1</f>
        <v>3.03237432424035E-2</v>
      </c>
    </row>
    <row r="6" spans="1:4" x14ac:dyDescent="0.3">
      <c r="B6" s="75">
        <v>43190</v>
      </c>
      <c r="C6" s="77">
        <v>35545</v>
      </c>
      <c r="D6" s="78">
        <f t="shared" ref="D6:D18" si="0">C6/+C5-1</f>
        <v>7.1859357095470644E-2</v>
      </c>
    </row>
    <row r="7" spans="1:4" x14ac:dyDescent="0.3">
      <c r="B7" s="75">
        <v>43555</v>
      </c>
      <c r="C7" s="77">
        <v>39310</v>
      </c>
      <c r="D7" s="78">
        <f t="shared" si="0"/>
        <v>0.1059220706147137</v>
      </c>
    </row>
    <row r="8" spans="1:4" x14ac:dyDescent="0.3">
      <c r="B8" s="75">
        <v>43921</v>
      </c>
      <c r="C8" s="77">
        <v>39783</v>
      </c>
      <c r="D8" s="78">
        <f t="shared" si="0"/>
        <v>1.2032561689137689E-2</v>
      </c>
    </row>
    <row r="9" spans="1:4" x14ac:dyDescent="0.3">
      <c r="B9" s="75">
        <v>44286</v>
      </c>
      <c r="C9" s="77">
        <v>47028</v>
      </c>
      <c r="D9" s="78">
        <f t="shared" si="0"/>
        <v>0.18211296282331646</v>
      </c>
    </row>
    <row r="10" spans="1:4" x14ac:dyDescent="0.3">
      <c r="B10" s="75">
        <v>44651</v>
      </c>
      <c r="C10" s="77">
        <v>52446</v>
      </c>
      <c r="D10" s="78">
        <f t="shared" si="0"/>
        <v>0.11520796121459553</v>
      </c>
    </row>
    <row r="11" spans="1:4" x14ac:dyDescent="0.3">
      <c r="B11" s="75">
        <v>45016</v>
      </c>
      <c r="C11" s="77">
        <v>60580</v>
      </c>
      <c r="D11" s="78">
        <f t="shared" si="0"/>
        <v>0.15509285741524614</v>
      </c>
    </row>
    <row r="12" spans="1:4" x14ac:dyDescent="0.3">
      <c r="B12" s="75">
        <v>45382</v>
      </c>
      <c r="C12" s="77">
        <v>61896</v>
      </c>
      <c r="D12" s="78">
        <f t="shared" si="0"/>
        <v>2.1723341036645749E-2</v>
      </c>
    </row>
    <row r="13" spans="1:4" x14ac:dyDescent="0.3">
      <c r="B13" s="75">
        <v>45747</v>
      </c>
      <c r="C13" s="77">
        <v>63121</v>
      </c>
      <c r="D13" s="78">
        <f t="shared" si="0"/>
        <v>1.9791262763344974E-2</v>
      </c>
    </row>
    <row r="14" spans="1:4" x14ac:dyDescent="0.3">
      <c r="B14" s="75">
        <v>46112</v>
      </c>
      <c r="C14" s="77">
        <v>68216.751150427619</v>
      </c>
      <c r="D14" s="78">
        <f t="shared" si="0"/>
        <v>8.0729886256992511E-2</v>
      </c>
    </row>
    <row r="15" spans="1:4" x14ac:dyDescent="0.3">
      <c r="B15" s="75">
        <v>46477</v>
      </c>
      <c r="C15" s="77">
        <v>73079.200071225234</v>
      </c>
      <c r="D15" s="78">
        <f t="shared" si="0"/>
        <v>7.1279397491024188E-2</v>
      </c>
    </row>
    <row r="16" spans="1:4" x14ac:dyDescent="0.3">
      <c r="B16" s="75">
        <v>46843</v>
      </c>
      <c r="C16" s="77">
        <v>77758.254207356833</v>
      </c>
      <c r="D16" s="78">
        <f t="shared" si="0"/>
        <v>6.4027166848723782E-2</v>
      </c>
    </row>
    <row r="17" spans="2:9" x14ac:dyDescent="0.3">
      <c r="B17" s="75">
        <v>47208</v>
      </c>
      <c r="C17" s="77">
        <v>82268.535544621409</v>
      </c>
      <c r="D17" s="78">
        <f t="shared" si="0"/>
        <v>5.8003891461311241E-2</v>
      </c>
    </row>
    <row r="18" spans="2:9" x14ac:dyDescent="0.3">
      <c r="B18" s="75">
        <v>47573</v>
      </c>
      <c r="C18" s="77">
        <v>86775.054316132388</v>
      </c>
      <c r="D18" s="78">
        <f t="shared" si="0"/>
        <v>5.4778157185825904E-2</v>
      </c>
    </row>
    <row r="22" spans="2:9" x14ac:dyDescent="0.3">
      <c r="B22" s="2" t="s">
        <v>171</v>
      </c>
    </row>
    <row r="25" spans="2:9" x14ac:dyDescent="0.3">
      <c r="I25" s="36"/>
    </row>
  </sheetData>
  <mergeCells count="1">
    <mergeCell ref="B2:D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Data Sheet</vt:lpstr>
      <vt:lpstr>3 Statement Model</vt:lpstr>
      <vt:lpstr>Ratio Analysis</vt:lpstr>
      <vt:lpstr>DCF</vt:lpstr>
      <vt:lpstr>COMP Analysis</vt:lpstr>
      <vt:lpstr>Common Size Statement</vt:lpstr>
      <vt:lpstr>TrendAnalysis</vt:lpstr>
      <vt:lpstr>'Common Size Statement'!Print_Area</vt:lpstr>
      <vt:lpstr>'Ratio Analysis'!Print_Area</vt:lpstr>
      <vt:lpstr>UPDATE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Pratyush</dc:creator>
  <cp:lastModifiedBy>Dinesh Nathani</cp:lastModifiedBy>
  <cp:lastPrinted>2026-03-09T22:38:28Z</cp:lastPrinted>
  <dcterms:created xsi:type="dcterms:W3CDTF">2012-08-17T09:55:37Z</dcterms:created>
  <dcterms:modified xsi:type="dcterms:W3CDTF">2026-03-11T09:24:56Z</dcterms:modified>
</cp:coreProperties>
</file>